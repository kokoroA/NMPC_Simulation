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kum\Downloads\"/>
    </mc:Choice>
  </mc:AlternateContent>
  <xr:revisionPtr revIDLastSave="0" documentId="8_{99BE150A-FAE6-400D-90F8-0503A59DC6F7}" xr6:coauthVersionLast="47" xr6:coauthVersionMax="47" xr10:uidLastSave="{00000000-0000-0000-0000-000000000000}"/>
  <bookViews>
    <workbookView xWindow="-108" yWindow="-108" windowWidth="23256" windowHeight="13896" activeTab="1" xr2:uid="{60E08C03-A9D0-4E39-ACF3-634FDA3459B1}"/>
  </bookViews>
  <sheets>
    <sheet name="Sheet1" sheetId="1" r:id="rId1"/>
    <sheet name="ヒコロボ" sheetId="2" r:id="rId2"/>
    <sheet name="西本" sheetId="3" r:id="rId3"/>
    <sheet name="廣島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4" l="1"/>
  <c r="K22" i="4"/>
  <c r="J22" i="4"/>
  <c r="I22" i="4"/>
  <c r="L21" i="4"/>
  <c r="K21" i="4"/>
  <c r="J21" i="4"/>
  <c r="I21" i="4"/>
  <c r="L20" i="4"/>
  <c r="K20" i="4"/>
  <c r="J20" i="4"/>
  <c r="I20" i="4"/>
  <c r="L19" i="4"/>
  <c r="K19" i="4"/>
  <c r="J19" i="4"/>
  <c r="I19" i="4"/>
  <c r="L18" i="4"/>
  <c r="K18" i="4"/>
  <c r="J18" i="4"/>
  <c r="I18" i="4"/>
  <c r="L17" i="4"/>
  <c r="K17" i="4"/>
  <c r="J17" i="4"/>
  <c r="I17" i="4"/>
  <c r="L16" i="4"/>
  <c r="K16" i="4"/>
  <c r="J16" i="4"/>
  <c r="I16" i="4"/>
  <c r="L15" i="4"/>
  <c r="K15" i="4"/>
  <c r="J15" i="4"/>
  <c r="I15" i="4"/>
  <c r="L14" i="4"/>
  <c r="K14" i="4"/>
  <c r="J14" i="4"/>
  <c r="I14" i="4"/>
  <c r="L13" i="4"/>
  <c r="K13" i="4"/>
  <c r="J13" i="4"/>
  <c r="I13" i="4"/>
  <c r="L12" i="4"/>
  <c r="K12" i="4"/>
  <c r="J12" i="4"/>
  <c r="I12" i="4"/>
  <c r="L11" i="4"/>
  <c r="K11" i="4"/>
  <c r="J11" i="4"/>
  <c r="I11" i="4"/>
  <c r="L10" i="4"/>
  <c r="K10" i="4"/>
  <c r="J10" i="4"/>
  <c r="I10" i="4"/>
  <c r="L9" i="4"/>
  <c r="K9" i="4"/>
  <c r="J9" i="4"/>
  <c r="I9" i="4"/>
  <c r="L8" i="4"/>
  <c r="K8" i="4"/>
  <c r="J8" i="4"/>
  <c r="I8" i="4"/>
  <c r="L7" i="4"/>
  <c r="K7" i="4"/>
  <c r="J7" i="4"/>
  <c r="I7" i="4"/>
  <c r="L6" i="4"/>
  <c r="K6" i="4"/>
  <c r="J6" i="4"/>
  <c r="I6" i="4"/>
  <c r="L5" i="4"/>
  <c r="K5" i="4"/>
  <c r="J5" i="4"/>
  <c r="I5" i="4"/>
  <c r="L4" i="4"/>
  <c r="K4" i="4"/>
  <c r="J4" i="4"/>
  <c r="I4" i="4"/>
  <c r="L3" i="4"/>
  <c r="K3" i="4"/>
  <c r="J3" i="4"/>
  <c r="I3" i="4"/>
  <c r="L2" i="4"/>
  <c r="K2" i="4"/>
  <c r="J2" i="4"/>
  <c r="I2" i="4"/>
  <c r="M15" i="3"/>
  <c r="L15" i="3"/>
  <c r="K15" i="3"/>
  <c r="J15" i="3"/>
  <c r="M14" i="3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L9" i="3"/>
  <c r="K9" i="3"/>
  <c r="J9" i="3"/>
  <c r="M8" i="3"/>
  <c r="L8" i="3"/>
  <c r="K8" i="3"/>
  <c r="J8" i="3"/>
  <c r="M7" i="3"/>
  <c r="L7" i="3"/>
  <c r="K7" i="3"/>
  <c r="J7" i="3"/>
  <c r="M6" i="3"/>
  <c r="L6" i="3"/>
  <c r="K6" i="3"/>
  <c r="J6" i="3"/>
  <c r="M5" i="3"/>
  <c r="L5" i="3"/>
  <c r="K5" i="3"/>
  <c r="J5" i="3"/>
  <c r="M4" i="3"/>
  <c r="L4" i="3"/>
  <c r="K4" i="3"/>
  <c r="J4" i="3"/>
  <c r="M3" i="3"/>
  <c r="L3" i="3"/>
  <c r="K3" i="3"/>
  <c r="J3" i="3"/>
  <c r="M2" i="3"/>
  <c r="L2" i="3"/>
  <c r="K2" i="3"/>
  <c r="J2" i="3"/>
  <c r="P71" i="2"/>
  <c r="O71" i="2"/>
  <c r="N71" i="2"/>
  <c r="M71" i="2"/>
  <c r="L71" i="2"/>
  <c r="P70" i="2"/>
  <c r="O70" i="2"/>
  <c r="N70" i="2"/>
  <c r="M70" i="2"/>
  <c r="L70" i="2"/>
  <c r="P69" i="2"/>
  <c r="O69" i="2"/>
  <c r="N69" i="2"/>
  <c r="M69" i="2"/>
  <c r="L69" i="2"/>
  <c r="P68" i="2"/>
  <c r="O68" i="2"/>
  <c r="N68" i="2"/>
  <c r="M68" i="2"/>
  <c r="L68" i="2"/>
  <c r="P67" i="2"/>
  <c r="O67" i="2"/>
  <c r="N67" i="2"/>
  <c r="M67" i="2"/>
  <c r="L67" i="2"/>
  <c r="P66" i="2"/>
  <c r="O66" i="2"/>
  <c r="N66" i="2"/>
  <c r="M66" i="2"/>
  <c r="L66" i="2"/>
  <c r="P65" i="2"/>
  <c r="O65" i="2"/>
  <c r="N65" i="2"/>
  <c r="M65" i="2"/>
  <c r="L65" i="2"/>
  <c r="P64" i="2"/>
  <c r="O64" i="2"/>
  <c r="N64" i="2"/>
  <c r="M64" i="2"/>
  <c r="L64" i="2"/>
  <c r="P63" i="2"/>
  <c r="O63" i="2"/>
  <c r="N63" i="2"/>
  <c r="M63" i="2"/>
  <c r="L63" i="2"/>
  <c r="P62" i="2"/>
  <c r="O62" i="2"/>
  <c r="N62" i="2"/>
  <c r="M62" i="2"/>
  <c r="L62" i="2"/>
  <c r="P61" i="2"/>
  <c r="O61" i="2"/>
  <c r="N61" i="2"/>
  <c r="M61" i="2"/>
  <c r="L61" i="2"/>
  <c r="P60" i="2"/>
  <c r="O60" i="2"/>
  <c r="N60" i="2"/>
  <c r="M60" i="2"/>
  <c r="L60" i="2"/>
  <c r="P59" i="2"/>
  <c r="O59" i="2"/>
  <c r="N59" i="2"/>
  <c r="M59" i="2"/>
  <c r="L59" i="2"/>
  <c r="P58" i="2"/>
  <c r="O58" i="2"/>
  <c r="N58" i="2"/>
  <c r="M58" i="2"/>
  <c r="L58" i="2"/>
  <c r="P57" i="2"/>
  <c r="O57" i="2"/>
  <c r="N57" i="2"/>
  <c r="M57" i="2"/>
  <c r="L57" i="2"/>
  <c r="P56" i="2"/>
  <c r="O56" i="2"/>
  <c r="N56" i="2"/>
  <c r="M56" i="2"/>
  <c r="L56" i="2"/>
  <c r="P55" i="2"/>
  <c r="O55" i="2"/>
  <c r="N55" i="2"/>
  <c r="M55" i="2"/>
  <c r="L55" i="2"/>
  <c r="P54" i="2"/>
  <c r="O54" i="2"/>
  <c r="N54" i="2"/>
  <c r="M54" i="2"/>
  <c r="L54" i="2"/>
  <c r="P53" i="2"/>
  <c r="O53" i="2"/>
  <c r="N53" i="2"/>
  <c r="M53" i="2"/>
  <c r="L53" i="2"/>
  <c r="P52" i="2"/>
  <c r="O52" i="2"/>
  <c r="N52" i="2"/>
  <c r="M52" i="2"/>
  <c r="L52" i="2"/>
  <c r="P51" i="2"/>
  <c r="O51" i="2"/>
  <c r="N51" i="2"/>
  <c r="M51" i="2"/>
  <c r="L51" i="2"/>
  <c r="P50" i="2"/>
  <c r="O50" i="2"/>
  <c r="N50" i="2"/>
  <c r="M50" i="2"/>
  <c r="L50" i="2"/>
  <c r="P49" i="2"/>
  <c r="O49" i="2"/>
  <c r="N49" i="2"/>
  <c r="M49" i="2"/>
  <c r="L49" i="2"/>
  <c r="P48" i="2"/>
  <c r="O48" i="2"/>
  <c r="N48" i="2"/>
  <c r="M48" i="2"/>
  <c r="L48" i="2"/>
  <c r="P47" i="2"/>
  <c r="O47" i="2"/>
  <c r="N47" i="2"/>
  <c r="M47" i="2"/>
  <c r="L47" i="2"/>
  <c r="P46" i="2"/>
  <c r="O46" i="2"/>
  <c r="N46" i="2"/>
  <c r="M46" i="2"/>
  <c r="L46" i="2"/>
  <c r="P45" i="2"/>
  <c r="O45" i="2"/>
  <c r="N45" i="2"/>
  <c r="M45" i="2"/>
  <c r="L45" i="2"/>
  <c r="P44" i="2"/>
  <c r="O44" i="2"/>
  <c r="N44" i="2"/>
  <c r="M44" i="2"/>
  <c r="L44" i="2"/>
  <c r="P43" i="2"/>
  <c r="O43" i="2"/>
  <c r="N43" i="2"/>
  <c r="M43" i="2"/>
  <c r="L43" i="2"/>
  <c r="P42" i="2"/>
  <c r="O42" i="2"/>
  <c r="N42" i="2"/>
  <c r="M42" i="2"/>
  <c r="L42" i="2"/>
  <c r="P41" i="2"/>
  <c r="O41" i="2"/>
  <c r="N41" i="2"/>
  <c r="M41" i="2"/>
  <c r="L41" i="2"/>
  <c r="P40" i="2"/>
  <c r="O40" i="2"/>
  <c r="N40" i="2"/>
  <c r="M40" i="2"/>
  <c r="L40" i="2"/>
  <c r="P39" i="2"/>
  <c r="O39" i="2"/>
  <c r="N39" i="2"/>
  <c r="M39" i="2"/>
  <c r="L39" i="2"/>
  <c r="P38" i="2"/>
  <c r="O38" i="2"/>
  <c r="N38" i="2"/>
  <c r="M38" i="2"/>
  <c r="L38" i="2"/>
  <c r="P37" i="2"/>
  <c r="O37" i="2"/>
  <c r="N37" i="2"/>
  <c r="M37" i="2"/>
  <c r="L37" i="2"/>
  <c r="P36" i="2"/>
  <c r="O36" i="2"/>
  <c r="N36" i="2"/>
  <c r="M36" i="2"/>
  <c r="L36" i="2"/>
  <c r="P35" i="2"/>
  <c r="O35" i="2"/>
  <c r="N35" i="2"/>
  <c r="M35" i="2"/>
  <c r="L35" i="2"/>
  <c r="P34" i="2"/>
  <c r="O34" i="2"/>
  <c r="N34" i="2"/>
  <c r="M34" i="2"/>
  <c r="L34" i="2"/>
  <c r="P33" i="2"/>
  <c r="O33" i="2"/>
  <c r="N33" i="2"/>
  <c r="M33" i="2"/>
  <c r="L33" i="2"/>
  <c r="P32" i="2"/>
  <c r="O32" i="2"/>
  <c r="N32" i="2"/>
  <c r="M32" i="2"/>
  <c r="L32" i="2"/>
  <c r="P31" i="2"/>
  <c r="O31" i="2"/>
  <c r="N31" i="2"/>
  <c r="M31" i="2"/>
  <c r="L31" i="2"/>
  <c r="P30" i="2"/>
  <c r="O30" i="2"/>
  <c r="N30" i="2"/>
  <c r="M30" i="2"/>
  <c r="L30" i="2"/>
  <c r="P29" i="2"/>
  <c r="O29" i="2"/>
  <c r="N29" i="2"/>
  <c r="M29" i="2"/>
  <c r="L29" i="2"/>
  <c r="P28" i="2"/>
  <c r="O28" i="2"/>
  <c r="N28" i="2"/>
  <c r="M28" i="2"/>
  <c r="L28" i="2"/>
  <c r="P27" i="2"/>
  <c r="O27" i="2"/>
  <c r="N27" i="2"/>
  <c r="M27" i="2"/>
  <c r="L27" i="2"/>
  <c r="P26" i="2"/>
  <c r="O26" i="2"/>
  <c r="N26" i="2"/>
  <c r="M26" i="2"/>
  <c r="L26" i="2"/>
  <c r="P25" i="2"/>
  <c r="O25" i="2"/>
  <c r="N25" i="2"/>
  <c r="M25" i="2"/>
  <c r="L25" i="2"/>
  <c r="P24" i="2"/>
  <c r="O24" i="2"/>
  <c r="N24" i="2"/>
  <c r="M24" i="2"/>
  <c r="L24" i="2"/>
  <c r="P23" i="2"/>
  <c r="O23" i="2"/>
  <c r="N23" i="2"/>
  <c r="M23" i="2"/>
  <c r="L23" i="2"/>
  <c r="P22" i="2"/>
  <c r="O22" i="2"/>
  <c r="N22" i="2"/>
  <c r="M22" i="2"/>
  <c r="P21" i="2"/>
  <c r="O21" i="2"/>
  <c r="N21" i="2"/>
  <c r="M21" i="2"/>
  <c r="P20" i="2"/>
  <c r="O20" i="2"/>
  <c r="N20" i="2"/>
  <c r="M20" i="2"/>
  <c r="P19" i="2"/>
  <c r="O19" i="2"/>
  <c r="N19" i="2"/>
  <c r="M19" i="2"/>
  <c r="P18" i="2"/>
  <c r="O18" i="2"/>
  <c r="N18" i="2"/>
  <c r="M18" i="2"/>
  <c r="P17" i="2"/>
  <c r="O17" i="2"/>
  <c r="N17" i="2"/>
  <c r="M17" i="2"/>
  <c r="P16" i="2"/>
  <c r="O16" i="2"/>
  <c r="N16" i="2"/>
  <c r="M16" i="2"/>
  <c r="P15" i="2"/>
  <c r="O15" i="2"/>
  <c r="N15" i="2"/>
  <c r="M15" i="2"/>
  <c r="P14" i="2"/>
  <c r="O14" i="2"/>
  <c r="N14" i="2"/>
  <c r="M14" i="2"/>
  <c r="P13" i="2"/>
  <c r="O13" i="2"/>
  <c r="N13" i="2"/>
  <c r="M13" i="2"/>
  <c r="P12" i="2"/>
  <c r="O12" i="2"/>
  <c r="N12" i="2"/>
  <c r="M12" i="2"/>
  <c r="P11" i="2"/>
  <c r="O11" i="2"/>
  <c r="N11" i="2"/>
  <c r="M11" i="2"/>
  <c r="P10" i="2"/>
  <c r="O10" i="2"/>
  <c r="N10" i="2"/>
  <c r="M10" i="2"/>
  <c r="P9" i="2"/>
  <c r="O9" i="2"/>
  <c r="N9" i="2"/>
  <c r="M9" i="2"/>
  <c r="P8" i="2"/>
  <c r="O8" i="2"/>
  <c r="N8" i="2"/>
  <c r="M8" i="2"/>
  <c r="P7" i="2"/>
  <c r="O7" i="2"/>
  <c r="N7" i="2"/>
  <c r="M7" i="2"/>
  <c r="P6" i="2"/>
  <c r="O6" i="2"/>
  <c r="N6" i="2"/>
  <c r="M6" i="2"/>
  <c r="P5" i="2"/>
  <c r="O5" i="2"/>
  <c r="N5" i="2"/>
  <c r="M5" i="2"/>
  <c r="P4" i="2"/>
  <c r="O4" i="2"/>
  <c r="N4" i="2"/>
  <c r="M4" i="2"/>
  <c r="P3" i="2"/>
  <c r="O3" i="2"/>
  <c r="N3" i="2"/>
  <c r="M3" i="2"/>
  <c r="P2" i="2"/>
  <c r="O2" i="2"/>
  <c r="N2" i="2"/>
  <c r="M2" i="2"/>
  <c r="J37" i="1"/>
  <c r="G37" i="1"/>
  <c r="D37" i="1"/>
  <c r="J36" i="1"/>
  <c r="G36" i="1"/>
  <c r="D36" i="1"/>
  <c r="J35" i="1"/>
  <c r="G35" i="1"/>
  <c r="D35" i="1"/>
  <c r="J34" i="1"/>
  <c r="G34" i="1"/>
  <c r="D34" i="1"/>
  <c r="J33" i="1"/>
  <c r="G33" i="1"/>
  <c r="D33" i="1"/>
  <c r="J32" i="1"/>
  <c r="G32" i="1"/>
  <c r="D32" i="1"/>
  <c r="J31" i="1"/>
  <c r="G31" i="1"/>
  <c r="D31" i="1"/>
  <c r="J30" i="1"/>
  <c r="G30" i="1"/>
  <c r="D30" i="1"/>
  <c r="J29" i="1"/>
  <c r="G29" i="1"/>
  <c r="D29" i="1"/>
  <c r="J28" i="1"/>
  <c r="G28" i="1"/>
  <c r="D28" i="1"/>
  <c r="J27" i="1"/>
  <c r="G27" i="1"/>
  <c r="D27" i="1"/>
  <c r="J26" i="1"/>
  <c r="G26" i="1"/>
  <c r="D26" i="1"/>
  <c r="J25" i="1"/>
  <c r="G25" i="1"/>
  <c r="D25" i="1"/>
  <c r="J24" i="1"/>
  <c r="G24" i="1"/>
  <c r="D24" i="1"/>
  <c r="J23" i="1"/>
  <c r="G23" i="1"/>
  <c r="D23" i="1"/>
  <c r="J22" i="1"/>
  <c r="G22" i="1"/>
  <c r="D22" i="1"/>
  <c r="J21" i="1"/>
  <c r="G21" i="1"/>
  <c r="D21" i="1"/>
  <c r="J20" i="1"/>
  <c r="G20" i="1"/>
  <c r="E20" i="1"/>
  <c r="D20" i="1"/>
  <c r="B20" i="1"/>
  <c r="J19" i="1"/>
  <c r="G19" i="1"/>
  <c r="D19" i="1"/>
  <c r="J18" i="1"/>
  <c r="G18" i="1"/>
  <c r="D18" i="1"/>
  <c r="J17" i="1"/>
  <c r="G17" i="1"/>
  <c r="D17" i="1"/>
  <c r="J16" i="1"/>
  <c r="G16" i="1"/>
  <c r="D16" i="1"/>
  <c r="J15" i="1"/>
  <c r="G15" i="1"/>
  <c r="D15" i="1"/>
  <c r="J14" i="1"/>
  <c r="G14" i="1"/>
  <c r="D14" i="1"/>
  <c r="J13" i="1"/>
  <c r="G13" i="1"/>
  <c r="D13" i="1"/>
  <c r="J12" i="1"/>
  <c r="G12" i="1"/>
  <c r="D12" i="1"/>
  <c r="J11" i="1"/>
  <c r="G11" i="1"/>
  <c r="D11" i="1"/>
  <c r="N7" i="1"/>
  <c r="L7" i="1"/>
  <c r="K7" i="1"/>
  <c r="J7" i="1"/>
  <c r="N6" i="1"/>
  <c r="L6" i="1"/>
  <c r="K6" i="1"/>
  <c r="J6" i="1"/>
  <c r="N5" i="1"/>
  <c r="L5" i="1"/>
  <c r="K5" i="1"/>
  <c r="J5" i="1"/>
  <c r="G5" i="1"/>
  <c r="N4" i="1"/>
  <c r="L4" i="1"/>
  <c r="K4" i="1"/>
  <c r="J4" i="1"/>
  <c r="G4" i="1"/>
  <c r="N3" i="1"/>
  <c r="L3" i="1"/>
  <c r="K3" i="1"/>
  <c r="J3" i="1"/>
  <c r="G3" i="1"/>
</calcChain>
</file>

<file path=xl/sharedStrings.xml><?xml version="1.0" encoding="utf-8"?>
<sst xmlns="http://schemas.openxmlformats.org/spreadsheetml/2006/main" count="145" uniqueCount="108">
  <si>
    <t>耐故障5発</t>
    <rPh sb="0" eb="3">
      <t>タイコショウ</t>
    </rPh>
    <rPh sb="4" eb="5">
      <t>ハツ</t>
    </rPh>
    <phoneticPr fontId="1"/>
  </si>
  <si>
    <t>耐故障4発</t>
    <rPh sb="0" eb="3">
      <t>タイコショウ</t>
    </rPh>
    <rPh sb="4" eb="5">
      <t>ハツ</t>
    </rPh>
    <phoneticPr fontId="1"/>
  </si>
  <si>
    <t>高所物資</t>
    <rPh sb="0" eb="2">
      <t>コウショ</t>
    </rPh>
    <rPh sb="2" eb="4">
      <t>ブッシ</t>
    </rPh>
    <phoneticPr fontId="1"/>
  </si>
  <si>
    <t>メインミッション</t>
    <phoneticPr fontId="1"/>
  </si>
  <si>
    <t>メインミッション②</t>
    <phoneticPr fontId="1"/>
  </si>
  <si>
    <t>機体重量</t>
    <rPh sb="0" eb="2">
      <t>キタイ</t>
    </rPh>
    <rPh sb="2" eb="4">
      <t>ジュウリョウ</t>
    </rPh>
    <phoneticPr fontId="1"/>
  </si>
  <si>
    <t>資材重量</t>
    <rPh sb="0" eb="2">
      <t>シザイ</t>
    </rPh>
    <rPh sb="2" eb="4">
      <t>ジュウリョウ</t>
    </rPh>
    <phoneticPr fontId="1"/>
  </si>
  <si>
    <t>合計重量</t>
    <rPh sb="0" eb="2">
      <t>ゴウケイ</t>
    </rPh>
    <rPh sb="2" eb="4">
      <t>ジュウリョウ</t>
    </rPh>
    <phoneticPr fontId="1"/>
  </si>
  <si>
    <t>&lt;g&lt;</t>
    <phoneticPr fontId="1"/>
  </si>
  <si>
    <t>安全率S=1.2</t>
    <rPh sb="0" eb="3">
      <t>アンゼンリツ</t>
    </rPh>
    <phoneticPr fontId="1"/>
  </si>
  <si>
    <t>安全率S=1.5</t>
    <rPh sb="0" eb="3">
      <t>アンゼンリツ</t>
    </rPh>
    <phoneticPr fontId="1"/>
  </si>
  <si>
    <t>必要推力S=1.2</t>
    <rPh sb="0" eb="2">
      <t>ヒツヨウ</t>
    </rPh>
    <rPh sb="2" eb="4">
      <t>スイリョク</t>
    </rPh>
    <phoneticPr fontId="1"/>
  </si>
  <si>
    <t>必要推力S=1.5</t>
    <rPh sb="0" eb="2">
      <t>ヒツヨウ</t>
    </rPh>
    <rPh sb="2" eb="4">
      <t>スイリョク</t>
    </rPh>
    <phoneticPr fontId="1"/>
  </si>
  <si>
    <t>ラーメン大</t>
    <phoneticPr fontId="1"/>
  </si>
  <si>
    <t>ラーメン小30*4</t>
    <phoneticPr fontId="1"/>
  </si>
  <si>
    <t>ラーメン小30*2</t>
    <phoneticPr fontId="1"/>
  </si>
  <si>
    <t>モータ1つの必要推力Smin&lt;g&lt;Smax</t>
    <rPh sb="6" eb="8">
      <t>ヒツヨウ</t>
    </rPh>
    <rPh sb="8" eb="10">
      <t>スイリョク</t>
    </rPh>
    <phoneticPr fontId="1"/>
  </si>
  <si>
    <t>betaFPV-D90s-3</t>
    <phoneticPr fontId="1"/>
  </si>
  <si>
    <t>GEMFAN-3630-3</t>
    <phoneticPr fontId="1"/>
  </si>
  <si>
    <t>Hqprop-T3.5*3.5*3GR</t>
    <phoneticPr fontId="1"/>
  </si>
  <si>
    <t>GEMFAN-3052-3</t>
    <phoneticPr fontId="1"/>
  </si>
  <si>
    <t>重量</t>
    <rPh sb="0" eb="2">
      <t>ジュウリョウ</t>
    </rPh>
    <phoneticPr fontId="1"/>
  </si>
  <si>
    <t>Hqprop-T3.5*3.5*4GR</t>
  </si>
  <si>
    <t>スロットル目盛り</t>
    <rPh sb="5" eb="7">
      <t>メモ</t>
    </rPh>
    <phoneticPr fontId="1"/>
  </si>
  <si>
    <t>回転数（rpm）</t>
    <rPh sb="0" eb="3">
      <t>カイテンスウ</t>
    </rPh>
    <phoneticPr fontId="1"/>
  </si>
  <si>
    <t>重量（g）</t>
    <rPh sb="0" eb="2">
      <t>ジュウリョウ</t>
    </rPh>
    <phoneticPr fontId="1"/>
  </si>
  <si>
    <t>モータ重量（ｇ）</t>
    <rPh sb="3" eb="5">
      <t>ジュウリョウ</t>
    </rPh>
    <phoneticPr fontId="1"/>
  </si>
  <si>
    <t>モータ種類</t>
    <rPh sb="3" eb="5">
      <t>シュルイ</t>
    </rPh>
    <phoneticPr fontId="1"/>
  </si>
  <si>
    <t>回転数自乗（rad/s）</t>
  </si>
  <si>
    <t>推力（N）</t>
    <phoneticPr fontId="1"/>
  </si>
  <si>
    <t>電流（A）</t>
    <rPh sb="0" eb="2">
      <t>デンリュウ</t>
    </rPh>
    <phoneticPr fontId="1"/>
  </si>
  <si>
    <t>電力（W）</t>
    <rPh sb="0" eb="2">
      <t>デンリョク</t>
    </rPh>
    <phoneticPr fontId="1"/>
  </si>
  <si>
    <t>効率（g/w）</t>
    <rPh sb="0" eb="2">
      <t>コウリツ</t>
    </rPh>
    <phoneticPr fontId="1"/>
  </si>
  <si>
    <t>f1404 Kv2900</t>
    <phoneticPr fontId="1"/>
  </si>
  <si>
    <t>BETAFPV-HQ-3520-3</t>
    <phoneticPr fontId="1"/>
  </si>
  <si>
    <t>回転数</t>
    <rPh sb="0" eb="3">
      <t>カイテンスウ</t>
    </rPh>
    <phoneticPr fontId="1"/>
  </si>
  <si>
    <t>電流</t>
    <rPh sb="0" eb="2">
      <t>デンリュウ</t>
    </rPh>
    <phoneticPr fontId="1"/>
  </si>
  <si>
    <t>電圧</t>
    <rPh sb="0" eb="2">
      <t>デンアツ</t>
    </rPh>
    <phoneticPr fontId="1"/>
  </si>
  <si>
    <t>目盛り</t>
    <rPh sb="0" eb="2">
      <t>メモ</t>
    </rPh>
    <phoneticPr fontId="1"/>
  </si>
  <si>
    <t>回転数自乗</t>
    <rPh sb="0" eb="3">
      <t>カイテンスウ</t>
    </rPh>
    <rPh sb="3" eb="5">
      <t>ジジョウ</t>
    </rPh>
    <phoneticPr fontId="1"/>
  </si>
  <si>
    <t>電力</t>
    <rPh sb="0" eb="2">
      <t>デンリョク</t>
    </rPh>
    <phoneticPr fontId="1"/>
  </si>
  <si>
    <t>効率</t>
    <rPh sb="0" eb="2">
      <t>コウリツ</t>
    </rPh>
    <phoneticPr fontId="1"/>
  </si>
  <si>
    <t>重量（N）</t>
    <rPh sb="0" eb="2">
      <t>ジュウリョウ</t>
    </rPh>
    <phoneticPr fontId="1"/>
  </si>
  <si>
    <t>電圧（V）2S or 3S</t>
    <rPh sb="0" eb="2">
      <t>デンアツ</t>
    </rPh>
    <phoneticPr fontId="1"/>
  </si>
  <si>
    <t>回転数（rpm）</t>
  </si>
  <si>
    <t>重量（ｇ）</t>
    <rPh sb="0" eb="2">
      <t>ジュウリョウ</t>
    </rPh>
    <phoneticPr fontId="1"/>
  </si>
  <si>
    <t>電圧（V）</t>
    <rPh sb="0" eb="2">
      <t>デンアツ</t>
    </rPh>
    <phoneticPr fontId="1"/>
  </si>
  <si>
    <t>効率（g/W）</t>
    <rPh sb="0" eb="2">
      <t>コウリツ</t>
    </rPh>
    <phoneticPr fontId="1"/>
  </si>
  <si>
    <t>プロペラ重量</t>
    <rPh sb="4" eb="6">
      <t>ジュウリョウ</t>
    </rPh>
    <phoneticPr fontId="1"/>
  </si>
  <si>
    <t>プロペラ重量（ｇ）</t>
    <rPh sb="4" eb="6">
      <t>ジュウリョウ</t>
    </rPh>
    <phoneticPr fontId="1"/>
  </si>
  <si>
    <t>プロペラ</t>
    <phoneticPr fontId="1"/>
  </si>
  <si>
    <t>モータ重量</t>
    <rPh sb="3" eb="5">
      <t>ジュウリョウ</t>
    </rPh>
    <phoneticPr fontId="1"/>
  </si>
  <si>
    <t>モータ種類</t>
    <rPh sb="3" eb="5">
      <t>シュルイ</t>
    </rPh>
    <phoneticPr fontId="1"/>
  </si>
  <si>
    <t>計測回数</t>
    <rPh sb="0" eb="2">
      <t>ケイソク</t>
    </rPh>
    <rPh sb="2" eb="4">
      <t>カイスウ</t>
    </rPh>
    <phoneticPr fontId="1"/>
  </si>
  <si>
    <t>モータ</t>
    <phoneticPr fontId="1"/>
  </si>
  <si>
    <t>プロペラ</t>
    <phoneticPr fontId="1"/>
  </si>
  <si>
    <t>フラコン</t>
    <phoneticPr fontId="1"/>
  </si>
  <si>
    <t>フレーム</t>
    <phoneticPr fontId="1"/>
  </si>
  <si>
    <t>ケーブル</t>
    <phoneticPr fontId="1"/>
  </si>
  <si>
    <t>バッテリー</t>
    <phoneticPr fontId="1"/>
  </si>
  <si>
    <t>ガード</t>
    <phoneticPr fontId="1"/>
  </si>
  <si>
    <t>脚</t>
    <rPh sb="0" eb="1">
      <t>アシ</t>
    </rPh>
    <phoneticPr fontId="1"/>
  </si>
  <si>
    <t>1個の重量（g）</t>
    <rPh sb="1" eb="2">
      <t>コ</t>
    </rPh>
    <rPh sb="3" eb="5">
      <t>ジュウリョウ</t>
    </rPh>
    <phoneticPr fontId="1"/>
  </si>
  <si>
    <t>案2</t>
    <rPh sb="0" eb="1">
      <t>アン</t>
    </rPh>
    <phoneticPr fontId="1"/>
  </si>
  <si>
    <t>案3</t>
    <rPh sb="0" eb="1">
      <t>アン</t>
    </rPh>
    <phoneticPr fontId="1"/>
  </si>
  <si>
    <t>案4</t>
    <rPh sb="0" eb="1">
      <t>アン</t>
    </rPh>
    <phoneticPr fontId="1"/>
  </si>
  <si>
    <t>案5</t>
    <rPh sb="0" eb="1">
      <t>アン</t>
    </rPh>
    <phoneticPr fontId="1"/>
  </si>
  <si>
    <t>個数（型番）</t>
    <rPh sb="0" eb="2">
      <t>コスウ</t>
    </rPh>
    <rPh sb="3" eb="5">
      <t>カタバン</t>
    </rPh>
    <phoneticPr fontId="1"/>
  </si>
  <si>
    <t>F1408 Kv3950</t>
    <phoneticPr fontId="1"/>
  </si>
  <si>
    <t>3S変換(g)</t>
    <rPh sb="2" eb="4">
      <t>ヘンカン</t>
    </rPh>
    <phoneticPr fontId="1"/>
  </si>
  <si>
    <t>3DP(バッテリ固定）</t>
    <rPh sb="8" eb="10">
      <t>コテイ</t>
    </rPh>
    <phoneticPr fontId="1"/>
  </si>
  <si>
    <t>3DP(サーボ固定）</t>
    <rPh sb="7" eb="9">
      <t>コテイ</t>
    </rPh>
    <phoneticPr fontId="1"/>
  </si>
  <si>
    <t>3DP脚のスペーサ</t>
    <rPh sb="3" eb="4">
      <t>アシ</t>
    </rPh>
    <phoneticPr fontId="1"/>
  </si>
  <si>
    <t>V1</t>
    <phoneticPr fontId="1"/>
  </si>
  <si>
    <t>ゴムバンド</t>
    <phoneticPr fontId="1"/>
  </si>
  <si>
    <t>金属ネジ</t>
    <rPh sb="0" eb="2">
      <t>キンゾク</t>
    </rPh>
    <phoneticPr fontId="1"/>
  </si>
  <si>
    <t>樹脂ネジ</t>
    <rPh sb="0" eb="2">
      <t>ジュシ</t>
    </rPh>
    <phoneticPr fontId="1"/>
  </si>
  <si>
    <t>3DP(ESC固定)</t>
    <rPh sb="7" eb="9">
      <t>コテイ</t>
    </rPh>
    <phoneticPr fontId="1"/>
  </si>
  <si>
    <t>ESC</t>
    <phoneticPr fontId="1"/>
  </si>
  <si>
    <t>モータマウント</t>
    <phoneticPr fontId="1"/>
  </si>
  <si>
    <t>スペーサ</t>
    <phoneticPr fontId="1"/>
  </si>
  <si>
    <t>パワーモジュール</t>
    <phoneticPr fontId="1"/>
  </si>
  <si>
    <t>open-MV</t>
    <phoneticPr fontId="1"/>
  </si>
  <si>
    <t>赤外線センサ</t>
    <rPh sb="0" eb="3">
      <t>セキガイセン</t>
    </rPh>
    <phoneticPr fontId="1"/>
  </si>
  <si>
    <t>アンテナ</t>
    <phoneticPr fontId="1"/>
  </si>
  <si>
    <t>合計</t>
    <rPh sb="0" eb="2">
      <t>ゴウケイ</t>
    </rPh>
    <phoneticPr fontId="1"/>
  </si>
  <si>
    <t>LED</t>
    <phoneticPr fontId="1"/>
  </si>
  <si>
    <t>機体重量</t>
    <rPh sb="0" eb="4">
      <t>キタイジュウリョウ</t>
    </rPh>
    <phoneticPr fontId="1"/>
  </si>
  <si>
    <t>変更点</t>
    <rPh sb="0" eb="2">
      <t>ヘンコウ</t>
    </rPh>
    <rPh sb="2" eb="3">
      <t>テン</t>
    </rPh>
    <phoneticPr fontId="1"/>
  </si>
  <si>
    <t>モータをf1408に変更</t>
    <rPh sb="10" eb="12">
      <t>ヘンコウ</t>
    </rPh>
    <phoneticPr fontId="1"/>
  </si>
  <si>
    <t>センサーUWB</t>
    <phoneticPr fontId="1"/>
  </si>
  <si>
    <t>課題</t>
    <rPh sb="0" eb="2">
      <t>カダイ</t>
    </rPh>
    <phoneticPr fontId="1"/>
  </si>
  <si>
    <t>57gのダイエット</t>
    <phoneticPr fontId="1"/>
  </si>
  <si>
    <t>プロペラをD90s-3に変更</t>
    <rPh sb="12" eb="14">
      <t>ヘンコウ</t>
    </rPh>
    <phoneticPr fontId="1"/>
  </si>
  <si>
    <t>モータをf1408に変更</t>
    <phoneticPr fontId="1"/>
  </si>
  <si>
    <t>プロペラをD90s-3に変更</t>
    <phoneticPr fontId="1"/>
  </si>
  <si>
    <t>脚の本数を3本に</t>
    <rPh sb="0" eb="1">
      <t>アシ</t>
    </rPh>
    <rPh sb="2" eb="4">
      <t>ホンスウ</t>
    </rPh>
    <rPh sb="6" eb="7">
      <t>ボン</t>
    </rPh>
    <phoneticPr fontId="1"/>
  </si>
  <si>
    <t>LEDを半分の長さに</t>
    <rPh sb="4" eb="6">
      <t>ハンブン</t>
    </rPh>
    <rPh sb="7" eb="8">
      <t>ナガ</t>
    </rPh>
    <phoneticPr fontId="1"/>
  </si>
  <si>
    <t>脚を減らしたことで、樹脂ネジが半分に</t>
    <rPh sb="0" eb="1">
      <t>アシ</t>
    </rPh>
    <rPh sb="2" eb="3">
      <t>ヘ</t>
    </rPh>
    <rPh sb="10" eb="12">
      <t>ジュシ</t>
    </rPh>
    <rPh sb="15" eb="17">
      <t>ハンブン</t>
    </rPh>
    <phoneticPr fontId="1"/>
  </si>
  <si>
    <t>3DP脚スペーサの撤廃</t>
    <rPh sb="3" eb="4">
      <t>アシ</t>
    </rPh>
    <rPh sb="9" eb="11">
      <t>テッパイ</t>
    </rPh>
    <phoneticPr fontId="1"/>
  </si>
  <si>
    <t>赤外線センサの撤廃</t>
    <rPh sb="0" eb="3">
      <t>セキガイセン</t>
    </rPh>
    <rPh sb="7" eb="9">
      <t>テッパイ</t>
    </rPh>
    <phoneticPr fontId="1"/>
  </si>
  <si>
    <t>Open-MVの撤廃</t>
    <rPh sb="8" eb="10">
      <t>テッパイ</t>
    </rPh>
    <phoneticPr fontId="1"/>
  </si>
  <si>
    <t>12gのダイエット</t>
    <phoneticPr fontId="1"/>
  </si>
  <si>
    <t>6発実験</t>
    <rPh sb="1" eb="2">
      <t>パツ</t>
    </rPh>
    <rPh sb="2" eb="4">
      <t>ジッケン</t>
    </rPh>
    <phoneticPr fontId="1"/>
  </si>
  <si>
    <t>推力（g）</t>
    <rPh sb="0" eb="2">
      <t>スイリョク</t>
    </rPh>
    <phoneticPr fontId="1"/>
  </si>
  <si>
    <t>時間（s）</t>
    <rPh sb="0" eb="2">
      <t>ジカン</t>
    </rPh>
    <phoneticPr fontId="1"/>
  </si>
  <si>
    <t>（耐故障）</t>
    <rPh sb="1" eb="2">
      <t>タイ</t>
    </rPh>
    <rPh sb="2" eb="4">
      <t>コショウ</t>
    </rPh>
    <phoneticPr fontId="1"/>
  </si>
  <si>
    <t>メインミッション（510）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</si>
</sst>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6"/>
      <color theme="1"/>
      <name val="游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76" fontId="0" fillId="2" borderId="2" xfId="0" applyNumberFormat="1" applyFill="1" applyBorder="1">
      <alignment vertical="center"/>
    </xf>
    <xf numFmtId="176" fontId="0" fillId="2" borderId="3" xfId="0" applyNumberFormat="1" applyFill="1" applyBorder="1">
      <alignment vertical="center"/>
    </xf>
    <xf numFmtId="176" fontId="0" fillId="2" borderId="4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Border="1">
      <alignment vertical="center"/>
    </xf>
    <xf numFmtId="0" fontId="0" fillId="12" borderId="1" xfId="0" applyFill="1" applyBorder="1">
      <alignment vertical="center"/>
    </xf>
    <xf numFmtId="0" fontId="0" fillId="12" borderId="5" xfId="0" applyFill="1" applyBorder="1">
      <alignment vertical="center"/>
    </xf>
    <xf numFmtId="0" fontId="0" fillId="12" borderId="2" xfId="0" applyFill="1" applyBorder="1">
      <alignment vertical="center"/>
    </xf>
    <xf numFmtId="0" fontId="0" fillId="13" borderId="1" xfId="0" applyFill="1" applyBorder="1">
      <alignment vertical="center"/>
    </xf>
    <xf numFmtId="176" fontId="0" fillId="15" borderId="2" xfId="0" applyNumberFormat="1" applyFill="1" applyBorder="1">
      <alignment vertical="center"/>
    </xf>
    <xf numFmtId="176" fontId="0" fillId="15" borderId="3" xfId="0" applyNumberFormat="1" applyFill="1" applyBorder="1">
      <alignment vertical="center"/>
    </xf>
    <xf numFmtId="176" fontId="0" fillId="15" borderId="4" xfId="0" applyNumberFormat="1" applyFill="1" applyBorder="1">
      <alignment vertical="center"/>
    </xf>
    <xf numFmtId="0" fontId="0" fillId="13" borderId="2" xfId="0" applyFill="1" applyBorder="1">
      <alignment vertical="center"/>
    </xf>
    <xf numFmtId="0" fontId="0" fillId="0" borderId="5" xfId="0" applyBorder="1">
      <alignment vertical="center"/>
    </xf>
    <xf numFmtId="0" fontId="0" fillId="16" borderId="1" xfId="0" applyFill="1" applyBorder="1">
      <alignment vertical="center"/>
    </xf>
    <xf numFmtId="0" fontId="2" fillId="0" borderId="0" xfId="0" applyFont="1">
      <alignment vertical="center"/>
    </xf>
    <xf numFmtId="9" fontId="0" fillId="0" borderId="0" xfId="0" applyNumberForma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ベンゼン機体重量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18-416C-B949-7E4ADCE7E6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18-416C-B949-7E4ADCE7E6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18-416C-B949-7E4ADCE7E6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18-416C-B949-7E4ADCE7E6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18-416C-B949-7E4ADCE7E6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18-416C-B949-7E4ADCE7E6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18-416C-B949-7E4ADCE7E6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18-416C-B949-7E4ADCE7E6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318-416C-B949-7E4ADCE7E6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318-416C-B949-7E4ADCE7E6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318-416C-B949-7E4ADCE7E6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318-416C-B949-7E4ADCE7E6A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318-416C-B949-7E4ADCE7E6A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318-416C-B949-7E4ADCE7E6A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318-416C-B949-7E4ADCE7E6A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318-416C-B949-7E4ADCE7E6A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318-416C-B949-7E4ADCE7E6A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318-416C-B949-7E4ADCE7E6A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318-416C-B949-7E4ADCE7E6A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318-416C-B949-7E4ADCE7E6A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318-416C-B949-7E4ADCE7E6A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318-416C-B949-7E4ADCE7E6A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318-416C-B949-7E4ADCE7E6A8}"/>
              </c:ext>
            </c:extLst>
          </c:dPt>
          <c:cat>
            <c:strRef>
              <c:f>Sheet1!$A$11:$A$33</c:f>
              <c:strCache>
                <c:ptCount val="23"/>
                <c:pt idx="0">
                  <c:v>バッテリー</c:v>
                </c:pt>
                <c:pt idx="1">
                  <c:v>モータ</c:v>
                </c:pt>
                <c:pt idx="2">
                  <c:v>ガード</c:v>
                </c:pt>
                <c:pt idx="3">
                  <c:v>フラコン</c:v>
                </c:pt>
                <c:pt idx="4">
                  <c:v>フレーム</c:v>
                </c:pt>
                <c:pt idx="5">
                  <c:v>LED</c:v>
                </c:pt>
                <c:pt idx="6">
                  <c:v>open-MV</c:v>
                </c:pt>
                <c:pt idx="7">
                  <c:v>パワーモジュール</c:v>
                </c:pt>
                <c:pt idx="8">
                  <c:v>3DP脚のスペーサ</c:v>
                </c:pt>
                <c:pt idx="9">
                  <c:v>スペーサ</c:v>
                </c:pt>
                <c:pt idx="10">
                  <c:v>脚</c:v>
                </c:pt>
                <c:pt idx="11">
                  <c:v>3DP(バッテリ固定）</c:v>
                </c:pt>
                <c:pt idx="12">
                  <c:v>プロペラ</c:v>
                </c:pt>
                <c:pt idx="13">
                  <c:v>金属ネジ</c:v>
                </c:pt>
                <c:pt idx="14">
                  <c:v>ケーブル</c:v>
                </c:pt>
                <c:pt idx="15">
                  <c:v>ゴムバンド</c:v>
                </c:pt>
                <c:pt idx="16">
                  <c:v>3DP(サーボ固定）</c:v>
                </c:pt>
                <c:pt idx="17">
                  <c:v>ESC</c:v>
                </c:pt>
                <c:pt idx="18">
                  <c:v>3DP(ESC固定)</c:v>
                </c:pt>
                <c:pt idx="19">
                  <c:v>樹脂ネジ</c:v>
                </c:pt>
                <c:pt idx="20">
                  <c:v>アンテナ</c:v>
                </c:pt>
                <c:pt idx="21">
                  <c:v>赤外線センサ</c:v>
                </c:pt>
                <c:pt idx="22">
                  <c:v>モータマウント</c:v>
                </c:pt>
              </c:strCache>
            </c:strRef>
          </c:cat>
          <c:val>
            <c:numRef>
              <c:f>Sheet1!$D$11:$D$33</c:f>
              <c:numCache>
                <c:formatCode>General</c:formatCode>
                <c:ptCount val="23"/>
                <c:pt idx="0">
                  <c:v>141</c:v>
                </c:pt>
                <c:pt idx="1">
                  <c:v>52.320000000000007</c:v>
                </c:pt>
                <c:pt idx="2">
                  <c:v>23.4</c:v>
                </c:pt>
                <c:pt idx="3">
                  <c:v>22.5</c:v>
                </c:pt>
                <c:pt idx="4">
                  <c:v>19.46</c:v>
                </c:pt>
                <c:pt idx="5">
                  <c:v>19</c:v>
                </c:pt>
                <c:pt idx="6">
                  <c:v>17.77</c:v>
                </c:pt>
                <c:pt idx="7">
                  <c:v>16.809999999999999</c:v>
                </c:pt>
                <c:pt idx="8">
                  <c:v>10.32</c:v>
                </c:pt>
                <c:pt idx="9">
                  <c:v>9.9</c:v>
                </c:pt>
                <c:pt idx="10">
                  <c:v>9.6000000000000014</c:v>
                </c:pt>
                <c:pt idx="11">
                  <c:v>9.52</c:v>
                </c:pt>
                <c:pt idx="12">
                  <c:v>9.120000000000001</c:v>
                </c:pt>
                <c:pt idx="13">
                  <c:v>8</c:v>
                </c:pt>
                <c:pt idx="14">
                  <c:v>7</c:v>
                </c:pt>
                <c:pt idx="15">
                  <c:v>6.64</c:v>
                </c:pt>
                <c:pt idx="16">
                  <c:v>5.25</c:v>
                </c:pt>
                <c:pt idx="17">
                  <c:v>5.09</c:v>
                </c:pt>
                <c:pt idx="18">
                  <c:v>2.7</c:v>
                </c:pt>
                <c:pt idx="19">
                  <c:v>2.21</c:v>
                </c:pt>
                <c:pt idx="20">
                  <c:v>2.21</c:v>
                </c:pt>
                <c:pt idx="21">
                  <c:v>1.1399999999999999</c:v>
                </c:pt>
                <c:pt idx="22">
                  <c:v>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6-42E0-AA9C-DC151740D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 b="0"/>
              <a:t>回転数</a:t>
            </a:r>
            <a:r>
              <a:rPr lang="en-US" altLang="ja-JP" b="0"/>
              <a:t>vs</a:t>
            </a:r>
            <a:r>
              <a:rPr lang="ja-JP" altLang="en-US" b="0"/>
              <a:t>推力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回転数vs推力</c:v>
          </c:tx>
          <c:spPr>
            <a:ln w="19050">
              <a:noFill/>
            </a:ln>
          </c:spPr>
          <c:xVal>
            <c:numRef>
              <c:f>ヒコロボ!$N$9:$N$15</c:f>
              <c:numCache>
                <c:formatCode>General</c:formatCode>
                <c:ptCount val="7"/>
                <c:pt idx="0">
                  <c:v>591134.07770551485</c:v>
                </c:pt>
                <c:pt idx="1">
                  <c:v>811816.80911226035</c:v>
                </c:pt>
                <c:pt idx="2">
                  <c:v>983876.56158531725</c:v>
                </c:pt>
                <c:pt idx="3">
                  <c:v>1178364.4856134027</c:v>
                </c:pt>
                <c:pt idx="4">
                  <c:v>1365061.1355689524</c:v>
                </c:pt>
                <c:pt idx="5">
                  <c:v>1516602.8906889949</c:v>
                </c:pt>
                <c:pt idx="6">
                  <c:v>1650728.1935715196</c:v>
                </c:pt>
              </c:numCache>
            </c:numRef>
          </c:xVal>
          <c:yVal>
            <c:numRef>
              <c:f>ヒコロボ!$O$9:$O$15</c:f>
              <c:numCache>
                <c:formatCode>General</c:formatCode>
                <c:ptCount val="7"/>
                <c:pt idx="0">
                  <c:v>0.29037600000000002</c:v>
                </c:pt>
                <c:pt idx="1">
                  <c:v>0.41496299999999997</c:v>
                </c:pt>
                <c:pt idx="2">
                  <c:v>0.51306299999999994</c:v>
                </c:pt>
                <c:pt idx="3">
                  <c:v>0.61410600000000004</c:v>
                </c:pt>
                <c:pt idx="4">
                  <c:v>0.70632000000000006</c:v>
                </c:pt>
                <c:pt idx="5">
                  <c:v>0.790686</c:v>
                </c:pt>
                <c:pt idx="6">
                  <c:v>0.87309000000000003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505-4CE7-9C0B-C3C769404399}"/>
            </c:ext>
          </c:extLst>
        </c:ser>
        <c:ser>
          <c:idx val="0"/>
          <c:order val="1"/>
          <c:tx>
            <c:v>推力vs回転数（2）</c:v>
          </c:tx>
          <c:spPr>
            <a:ln w="19050">
              <a:noFil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ヒコロボ!$N$58:$N$64</c:f>
              <c:numCache>
                <c:formatCode>General</c:formatCode>
                <c:ptCount val="7"/>
                <c:pt idx="0">
                  <c:v>912709.53097470442</c:v>
                </c:pt>
                <c:pt idx="1">
                  <c:v>1240548.9151029063</c:v>
                </c:pt>
                <c:pt idx="2">
                  <c:v>1479179.5001805781</c:v>
                </c:pt>
                <c:pt idx="3">
                  <c:v>1726932.9444241265</c:v>
                </c:pt>
                <c:pt idx="4">
                  <c:v>1991495.0925986276</c:v>
                </c:pt>
                <c:pt idx="5">
                  <c:v>2166918.2417581682</c:v>
                </c:pt>
                <c:pt idx="6">
                  <c:v>2347498.1385887815</c:v>
                </c:pt>
              </c:numCache>
            </c:numRef>
          </c:xVal>
          <c:yVal>
            <c:numRef>
              <c:f>ヒコロボ!$O$58:$O$64</c:f>
              <c:numCache>
                <c:formatCode>General</c:formatCode>
                <c:ptCount val="7"/>
                <c:pt idx="0">
                  <c:v>0.237402</c:v>
                </c:pt>
                <c:pt idx="1">
                  <c:v>0.33550200000000008</c:v>
                </c:pt>
                <c:pt idx="2">
                  <c:v>0.41496299999999997</c:v>
                </c:pt>
                <c:pt idx="3">
                  <c:v>0.50031000000000003</c:v>
                </c:pt>
                <c:pt idx="4">
                  <c:v>0.58173299999999994</c:v>
                </c:pt>
                <c:pt idx="5">
                  <c:v>0.6425550000000001</c:v>
                </c:pt>
                <c:pt idx="6">
                  <c:v>0.69945299999999999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505-4CE7-9C0B-C3C769404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49935"/>
        <c:axId val="1694654207"/>
      </c:scatterChart>
      <c:valAx>
        <c:axId val="126214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回転数自乗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4654207"/>
        <c:crosses val="autoZero"/>
        <c:crossBetween val="midCat"/>
      </c:valAx>
      <c:valAx>
        <c:axId val="16946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推力（</a:t>
                </a:r>
                <a:r>
                  <a:rPr lang="en-US" altLang="ja-JP"/>
                  <a:t>N</a:t>
                </a:r>
                <a:r>
                  <a:rPr lang="ja-JP" altLang="en-US"/>
                  <a:t>）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214993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効率</a:t>
            </a:r>
            <a:r>
              <a:rPr lang="en-US" altLang="ja-JP"/>
              <a:t>vs</a:t>
            </a:r>
            <a:r>
              <a:rPr lang="ja-JP" altLang="en-US"/>
              <a:t>回転数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3520-3</c:v>
          </c:tx>
          <c:spPr>
            <a:ln w="19050">
              <a:noFill/>
            </a:ln>
          </c:spPr>
          <c:xVal>
            <c:numRef>
              <c:f>ヒコロボ!$N$58:$N$64</c:f>
              <c:numCache>
                <c:formatCode>General</c:formatCode>
                <c:ptCount val="7"/>
                <c:pt idx="0">
                  <c:v>912709.53097470442</c:v>
                </c:pt>
                <c:pt idx="1">
                  <c:v>1240548.9151029063</c:v>
                </c:pt>
                <c:pt idx="2">
                  <c:v>1479179.5001805781</c:v>
                </c:pt>
                <c:pt idx="3">
                  <c:v>1726932.9444241265</c:v>
                </c:pt>
                <c:pt idx="4">
                  <c:v>1991495.0925986276</c:v>
                </c:pt>
                <c:pt idx="5">
                  <c:v>2166918.2417581682</c:v>
                </c:pt>
                <c:pt idx="6">
                  <c:v>2347498.1385887815</c:v>
                </c:pt>
              </c:numCache>
            </c:numRef>
          </c:xVal>
          <c:yVal>
            <c:numRef>
              <c:f>ヒコロボ!$M$58:$M$65</c:f>
              <c:numCache>
                <c:formatCode>General</c:formatCode>
                <c:ptCount val="8"/>
                <c:pt idx="0">
                  <c:v>4.4798222880414658</c:v>
                </c:pt>
                <c:pt idx="1">
                  <c:v>4.7645583728057961</c:v>
                </c:pt>
                <c:pt idx="2">
                  <c:v>4.8442510306917086</c:v>
                </c:pt>
                <c:pt idx="3">
                  <c:v>4.9227799227799229</c:v>
                </c:pt>
                <c:pt idx="4">
                  <c:v>4.8274177792250077</c:v>
                </c:pt>
                <c:pt idx="5">
                  <c:v>4.9448890231013136</c:v>
                </c:pt>
                <c:pt idx="6">
                  <c:v>4.9410949410949412</c:v>
                </c:pt>
                <c:pt idx="7">
                  <c:v>4.7783783783783784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80F-4FB8-ADEE-C05588C30DA3}"/>
            </c:ext>
          </c:extLst>
        </c:ser>
        <c:ser>
          <c:idx val="0"/>
          <c:order val="1"/>
          <c:tx>
            <c:v>3630-3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ヒコロボ!$N$9:$N$15</c:f>
              <c:numCache>
                <c:formatCode>General</c:formatCode>
                <c:ptCount val="7"/>
                <c:pt idx="0">
                  <c:v>591134.07770551485</c:v>
                </c:pt>
                <c:pt idx="1">
                  <c:v>811816.80911226035</c:v>
                </c:pt>
                <c:pt idx="2">
                  <c:v>983876.56158531725</c:v>
                </c:pt>
                <c:pt idx="3">
                  <c:v>1178364.4856134027</c:v>
                </c:pt>
                <c:pt idx="4">
                  <c:v>1365061.1355689524</c:v>
                </c:pt>
                <c:pt idx="5">
                  <c:v>1516602.8906889949</c:v>
                </c:pt>
                <c:pt idx="6">
                  <c:v>1650728.1935715196</c:v>
                </c:pt>
              </c:numCache>
            </c:numRef>
          </c:xVal>
          <c:yVal>
            <c:numRef>
              <c:f>ヒコロボ!$M$9:$M$15</c:f>
              <c:numCache>
                <c:formatCode>General</c:formatCode>
                <c:ptCount val="7"/>
                <c:pt idx="0">
                  <c:v>36.09756097560976</c:v>
                </c:pt>
                <c:pt idx="1">
                  <c:v>37.767857142857139</c:v>
                </c:pt>
                <c:pt idx="2">
                  <c:v>37.89855072463768</c:v>
                </c:pt>
                <c:pt idx="3">
                  <c:v>37.041420118343197</c:v>
                </c:pt>
                <c:pt idx="4">
                  <c:v>36.363636363636367</c:v>
                </c:pt>
                <c:pt idx="5">
                  <c:v>35.663716814159294</c:v>
                </c:pt>
                <c:pt idx="6">
                  <c:v>35.317460317460316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80F-4FB8-ADEE-C05588C30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504351"/>
        <c:axId val="1680574175"/>
      </c:scatterChart>
      <c:valAx>
        <c:axId val="154550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回転数自乗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0574175"/>
        <c:crosses val="autoZero"/>
        <c:crossBetween val="midCat"/>
      </c:valAx>
      <c:valAx>
        <c:axId val="16805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効率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550435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2390419947506577"/>
          <c:y val="0.45894466316710414"/>
          <c:w val="0.12609580052493438"/>
          <c:h val="0.167434383202099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効率</a:t>
            </a:r>
            <a:r>
              <a:rPr lang="en-US" altLang="ja-JP"/>
              <a:t>vs</a:t>
            </a:r>
            <a:r>
              <a:rPr lang="ja-JP" altLang="en-US"/>
              <a:t>推力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3644155760352"/>
          <c:y val="0.20106481481481481"/>
          <c:w val="0.69973369994184531"/>
          <c:h val="0.58563247302420529"/>
        </c:manualLayout>
      </c:layout>
      <c:scatterChart>
        <c:scatterStyle val="lineMarker"/>
        <c:varyColors val="0"/>
        <c:ser>
          <c:idx val="1"/>
          <c:order val="0"/>
          <c:tx>
            <c:v>3630-3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ヒコロボ!$O$9:$O$15</c:f>
              <c:numCache>
                <c:formatCode>General</c:formatCode>
                <c:ptCount val="7"/>
                <c:pt idx="0">
                  <c:v>0.29037600000000002</c:v>
                </c:pt>
                <c:pt idx="1">
                  <c:v>0.41496299999999997</c:v>
                </c:pt>
                <c:pt idx="2">
                  <c:v>0.51306299999999994</c:v>
                </c:pt>
                <c:pt idx="3">
                  <c:v>0.61410600000000004</c:v>
                </c:pt>
                <c:pt idx="4">
                  <c:v>0.70632000000000006</c:v>
                </c:pt>
                <c:pt idx="5">
                  <c:v>0.790686</c:v>
                </c:pt>
                <c:pt idx="6">
                  <c:v>0.87309000000000003</c:v>
                </c:pt>
              </c:numCache>
            </c:numRef>
          </c:xVal>
          <c:yVal>
            <c:numRef>
              <c:f>ヒコロボ!$M$9:$M$15</c:f>
              <c:numCache>
                <c:formatCode>General</c:formatCode>
                <c:ptCount val="7"/>
                <c:pt idx="0">
                  <c:v>36.09756097560976</c:v>
                </c:pt>
                <c:pt idx="1">
                  <c:v>37.767857142857139</c:v>
                </c:pt>
                <c:pt idx="2">
                  <c:v>37.89855072463768</c:v>
                </c:pt>
                <c:pt idx="3">
                  <c:v>37.041420118343197</c:v>
                </c:pt>
                <c:pt idx="4">
                  <c:v>36.363636363636367</c:v>
                </c:pt>
                <c:pt idx="5">
                  <c:v>35.663716814159294</c:v>
                </c:pt>
                <c:pt idx="6">
                  <c:v>35.317460317460316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F6C-438E-822B-F558DBCF6894}"/>
            </c:ext>
          </c:extLst>
        </c:ser>
        <c:ser>
          <c:idx val="0"/>
          <c:order val="1"/>
          <c:tx>
            <c:v>3520-3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ヒコロボ!$O$58:$O$64</c:f>
              <c:numCache>
                <c:formatCode>General</c:formatCode>
                <c:ptCount val="7"/>
                <c:pt idx="0">
                  <c:v>0.237402</c:v>
                </c:pt>
                <c:pt idx="1">
                  <c:v>0.33550200000000008</c:v>
                </c:pt>
                <c:pt idx="2">
                  <c:v>0.41496299999999997</c:v>
                </c:pt>
                <c:pt idx="3">
                  <c:v>0.50031000000000003</c:v>
                </c:pt>
                <c:pt idx="4">
                  <c:v>0.58173299999999994</c:v>
                </c:pt>
                <c:pt idx="5">
                  <c:v>0.6425550000000001</c:v>
                </c:pt>
                <c:pt idx="6">
                  <c:v>0.69945299999999999</c:v>
                </c:pt>
              </c:numCache>
            </c:numRef>
          </c:xVal>
          <c:yVal>
            <c:numRef>
              <c:f>ヒコロボ!$M$58:$M$64</c:f>
              <c:numCache>
                <c:formatCode>General</c:formatCode>
                <c:ptCount val="7"/>
                <c:pt idx="0">
                  <c:v>4.4798222880414658</c:v>
                </c:pt>
                <c:pt idx="1">
                  <c:v>4.7645583728057961</c:v>
                </c:pt>
                <c:pt idx="2">
                  <c:v>4.8442510306917086</c:v>
                </c:pt>
                <c:pt idx="3">
                  <c:v>4.9227799227799229</c:v>
                </c:pt>
                <c:pt idx="4">
                  <c:v>4.8274177792250077</c:v>
                </c:pt>
                <c:pt idx="5">
                  <c:v>4.9448890231013136</c:v>
                </c:pt>
                <c:pt idx="6">
                  <c:v>4.9410949410949412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F6C-438E-822B-F558DBCF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865695"/>
        <c:axId val="1694646719"/>
      </c:scatterChart>
      <c:valAx>
        <c:axId val="171086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推力（</a:t>
                </a:r>
                <a:r>
                  <a:rPr lang="en-US" altLang="ja-JP"/>
                  <a:t>N</a:t>
                </a:r>
                <a:r>
                  <a:rPr lang="ja-JP" altLang="en-US"/>
                  <a:t>）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4646719"/>
        <c:crosses val="autoZero"/>
        <c:crossBetween val="midCat"/>
      </c:valAx>
      <c:valAx>
        <c:axId val="169464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効率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0865695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8174286463001682"/>
          <c:y val="0.43113371245261006"/>
          <c:w val="0.15849934383202099"/>
          <c:h val="0.129051472732575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あ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西本!$H$2:$H$15</c:f>
              <c:numCache>
                <c:formatCode>General</c:formatCode>
                <c:ptCount val="14"/>
                <c:pt idx="0">
                  <c:v>1.35</c:v>
                </c:pt>
                <c:pt idx="1">
                  <c:v>1.74</c:v>
                </c:pt>
                <c:pt idx="2">
                  <c:v>2.2000000000000002</c:v>
                </c:pt>
                <c:pt idx="3">
                  <c:v>2.65</c:v>
                </c:pt>
                <c:pt idx="4">
                  <c:v>3</c:v>
                </c:pt>
                <c:pt idx="5">
                  <c:v>3.5</c:v>
                </c:pt>
                <c:pt idx="6">
                  <c:v>3.91</c:v>
                </c:pt>
                <c:pt idx="7">
                  <c:v>3.92</c:v>
                </c:pt>
                <c:pt idx="8">
                  <c:v>4.32</c:v>
                </c:pt>
                <c:pt idx="9">
                  <c:v>4.76</c:v>
                </c:pt>
                <c:pt idx="10">
                  <c:v>5.37</c:v>
                </c:pt>
                <c:pt idx="11">
                  <c:v>5.94</c:v>
                </c:pt>
                <c:pt idx="12">
                  <c:v>6.6</c:v>
                </c:pt>
                <c:pt idx="13">
                  <c:v>7.46</c:v>
                </c:pt>
              </c:numCache>
            </c:numRef>
          </c:xVal>
          <c:yVal>
            <c:numRef>
              <c:f>西本!$M$2:$M$15</c:f>
              <c:numCache>
                <c:formatCode>General</c:formatCode>
                <c:ptCount val="14"/>
                <c:pt idx="0">
                  <c:v>0.56701800000000002</c:v>
                </c:pt>
                <c:pt idx="1">
                  <c:v>0.72103500000000009</c:v>
                </c:pt>
                <c:pt idx="2">
                  <c:v>0.87309000000000003</c:v>
                </c:pt>
                <c:pt idx="3">
                  <c:v>1.0300499999999999</c:v>
                </c:pt>
                <c:pt idx="4">
                  <c:v>1.1379600000000001</c:v>
                </c:pt>
                <c:pt idx="5">
                  <c:v>1.2900150000000001</c:v>
                </c:pt>
                <c:pt idx="6">
                  <c:v>1.3832100000000001</c:v>
                </c:pt>
                <c:pt idx="7">
                  <c:v>1.4047919999999998</c:v>
                </c:pt>
                <c:pt idx="8">
                  <c:v>1.521531</c:v>
                </c:pt>
                <c:pt idx="9">
                  <c:v>1.69713</c:v>
                </c:pt>
                <c:pt idx="10">
                  <c:v>1.78542</c:v>
                </c:pt>
                <c:pt idx="11">
                  <c:v>2.0306700000000002</c:v>
                </c:pt>
                <c:pt idx="12">
                  <c:v>2.1483900000000005</c:v>
                </c:pt>
                <c:pt idx="13">
                  <c:v>2.3740199999999998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59-411D-B651-1B3EF6462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692192"/>
        <c:axId val="1142861008"/>
      </c:scatterChart>
      <c:valAx>
        <c:axId val="131669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2861008"/>
        <c:crosses val="autoZero"/>
        <c:crossBetween val="midCat"/>
      </c:valAx>
      <c:valAx>
        <c:axId val="114286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669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い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西本!$L$2:$L$15</c:f>
              <c:numCache>
                <c:formatCode>General</c:formatCode>
                <c:ptCount val="14"/>
                <c:pt idx="0">
                  <c:v>3.8571905238571902</c:v>
                </c:pt>
                <c:pt idx="1">
                  <c:v>3.8055296675986332</c:v>
                </c:pt>
                <c:pt idx="2">
                  <c:v>3.6445536445536444</c:v>
                </c:pt>
                <c:pt idx="3">
                  <c:v>3.5696073431922488</c:v>
                </c:pt>
                <c:pt idx="4">
                  <c:v>3.4834834834834836</c:v>
                </c:pt>
                <c:pt idx="5">
                  <c:v>3.3848133848133846</c:v>
                </c:pt>
                <c:pt idx="6">
                  <c:v>3.2487730697449364</c:v>
                </c:pt>
                <c:pt idx="7">
                  <c:v>3.2910461481890052</c:v>
                </c:pt>
                <c:pt idx="8">
                  <c:v>3.2344844844844847</c:v>
                </c:pt>
                <c:pt idx="9">
                  <c:v>3.2742826860473921</c:v>
                </c:pt>
                <c:pt idx="10">
                  <c:v>3.0533326622712096</c:v>
                </c:pt>
                <c:pt idx="11">
                  <c:v>3.1395031395031396</c:v>
                </c:pt>
                <c:pt idx="12">
                  <c:v>2.9893529893529895</c:v>
                </c:pt>
                <c:pt idx="13">
                  <c:v>2.9224935391155231</c:v>
                </c:pt>
              </c:numCache>
            </c:numRef>
          </c:xVal>
          <c:yVal>
            <c:numRef>
              <c:f>西本!$M$2:$M$15</c:f>
              <c:numCache>
                <c:formatCode>General</c:formatCode>
                <c:ptCount val="14"/>
                <c:pt idx="0">
                  <c:v>0.56701800000000002</c:v>
                </c:pt>
                <c:pt idx="1">
                  <c:v>0.72103500000000009</c:v>
                </c:pt>
                <c:pt idx="2">
                  <c:v>0.87309000000000003</c:v>
                </c:pt>
                <c:pt idx="3">
                  <c:v>1.0300499999999999</c:v>
                </c:pt>
                <c:pt idx="4">
                  <c:v>1.1379600000000001</c:v>
                </c:pt>
                <c:pt idx="5">
                  <c:v>1.2900150000000001</c:v>
                </c:pt>
                <c:pt idx="6">
                  <c:v>1.3832100000000001</c:v>
                </c:pt>
                <c:pt idx="7">
                  <c:v>1.4047919999999998</c:v>
                </c:pt>
                <c:pt idx="8">
                  <c:v>1.521531</c:v>
                </c:pt>
                <c:pt idx="9">
                  <c:v>1.69713</c:v>
                </c:pt>
                <c:pt idx="10">
                  <c:v>1.78542</c:v>
                </c:pt>
                <c:pt idx="11">
                  <c:v>2.0306700000000002</c:v>
                </c:pt>
                <c:pt idx="12">
                  <c:v>2.1483900000000005</c:v>
                </c:pt>
                <c:pt idx="13">
                  <c:v>2.3740199999999998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0D-46F3-B85A-1834A84FA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103472"/>
        <c:axId val="1256903056"/>
      </c:scatterChart>
      <c:valAx>
        <c:axId val="1316103472"/>
        <c:scaling>
          <c:orientation val="minMax"/>
          <c:min val="2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903056"/>
        <c:crosses val="autoZero"/>
        <c:crossBetween val="midCat"/>
      </c:valAx>
      <c:valAx>
        <c:axId val="125690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61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う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西本!$J$2:$J$15</c:f>
              <c:numCache>
                <c:formatCode>General</c:formatCode>
                <c:ptCount val="14"/>
                <c:pt idx="0">
                  <c:v>61324561</c:v>
                </c:pt>
                <c:pt idx="1">
                  <c:v>74149321</c:v>
                </c:pt>
                <c:pt idx="2">
                  <c:v>87459904</c:v>
                </c:pt>
                <c:pt idx="3">
                  <c:v>99700225</c:v>
                </c:pt>
                <c:pt idx="4">
                  <c:v>111957561</c:v>
                </c:pt>
                <c:pt idx="5">
                  <c:v>125821089</c:v>
                </c:pt>
                <c:pt idx="6">
                  <c:v>141181924</c:v>
                </c:pt>
                <c:pt idx="7">
                  <c:v>134583201</c:v>
                </c:pt>
                <c:pt idx="8">
                  <c:v>146289025</c:v>
                </c:pt>
                <c:pt idx="9">
                  <c:v>155850256</c:v>
                </c:pt>
                <c:pt idx="10">
                  <c:v>175907169</c:v>
                </c:pt>
                <c:pt idx="11">
                  <c:v>189255049</c:v>
                </c:pt>
                <c:pt idx="12">
                  <c:v>204604416</c:v>
                </c:pt>
                <c:pt idx="13">
                  <c:v>217090756</c:v>
                </c:pt>
              </c:numCache>
            </c:numRef>
          </c:xVal>
          <c:yVal>
            <c:numRef>
              <c:f>西本!$M$2:$M$15</c:f>
              <c:numCache>
                <c:formatCode>General</c:formatCode>
                <c:ptCount val="14"/>
                <c:pt idx="0">
                  <c:v>0.56701800000000002</c:v>
                </c:pt>
                <c:pt idx="1">
                  <c:v>0.72103500000000009</c:v>
                </c:pt>
                <c:pt idx="2">
                  <c:v>0.87309000000000003</c:v>
                </c:pt>
                <c:pt idx="3">
                  <c:v>1.0300499999999999</c:v>
                </c:pt>
                <c:pt idx="4">
                  <c:v>1.1379600000000001</c:v>
                </c:pt>
                <c:pt idx="5">
                  <c:v>1.2900150000000001</c:v>
                </c:pt>
                <c:pt idx="6">
                  <c:v>1.3832100000000001</c:v>
                </c:pt>
                <c:pt idx="7">
                  <c:v>1.4047919999999998</c:v>
                </c:pt>
                <c:pt idx="8">
                  <c:v>1.521531</c:v>
                </c:pt>
                <c:pt idx="9">
                  <c:v>1.69713</c:v>
                </c:pt>
                <c:pt idx="10">
                  <c:v>1.78542</c:v>
                </c:pt>
                <c:pt idx="11">
                  <c:v>2.0306700000000002</c:v>
                </c:pt>
                <c:pt idx="12">
                  <c:v>2.1483900000000005</c:v>
                </c:pt>
                <c:pt idx="13">
                  <c:v>2.3740199999999998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93-4EC0-BA45-1E8085FFD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895792"/>
        <c:axId val="1141514752"/>
      </c:scatterChart>
      <c:valAx>
        <c:axId val="125689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1514752"/>
        <c:crosses val="autoZero"/>
        <c:crossBetween val="midCat"/>
      </c:valAx>
      <c:valAx>
        <c:axId val="114151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89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1004046</xdr:colOff>
      <xdr:row>10</xdr:row>
      <xdr:rowOff>35858</xdr:rowOff>
    </xdr:from>
    <xdr:to>
      <xdr:col>22</xdr:col>
      <xdr:colOff>537884</xdr:colOff>
      <xdr:row>30</xdr:row>
      <xdr:rowOff>152399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518603C-51D3-4891-BC8C-EC3E32FC0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369930</xdr:colOff>
      <xdr:row>33</xdr:row>
      <xdr:rowOff>213846</xdr:rowOff>
    </xdr:from>
    <xdr:to>
      <xdr:col>26</xdr:col>
      <xdr:colOff>127882</xdr:colOff>
      <xdr:row>47</xdr:row>
      <xdr:rowOff>213847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581DF19-3FFA-45CD-A466-15E8202C4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127882</xdr:colOff>
      <xdr:row>6</xdr:row>
      <xdr:rowOff>37434</xdr:rowOff>
    </xdr:from>
    <xdr:to>
      <xdr:col>25</xdr:col>
      <xdr:colOff>8086</xdr:colOff>
      <xdr:row>17</xdr:row>
      <xdr:rowOff>210430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62E7390-E8EA-4AEF-8C17-837971572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136551</xdr:colOff>
      <xdr:row>19</xdr:row>
      <xdr:rowOff>158723</xdr:rowOff>
    </xdr:from>
    <xdr:to>
      <xdr:col>25</xdr:col>
      <xdr:colOff>498394</xdr:colOff>
      <xdr:row>31</xdr:row>
      <xdr:rowOff>104936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ABC02D2-021E-4975-9098-51B2F3CA0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72390</xdr:colOff>
      <xdr:row>0</xdr:row>
      <xdr:rowOff>57150</xdr:rowOff>
    </xdr:from>
    <xdr:to>
      <xdr:col>20</xdr:col>
      <xdr:colOff>621030</xdr:colOff>
      <xdr:row>12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76498CC-4E93-4D42-9EB5-BD6B54DC1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64770</xdr:colOff>
      <xdr:row>12</xdr:row>
      <xdr:rowOff>209550</xdr:rowOff>
    </xdr:from>
    <xdr:to>
      <xdr:col>20</xdr:col>
      <xdr:colOff>613410</xdr:colOff>
      <xdr:row>24</xdr:row>
      <xdr:rowOff>209550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BF6F2BF-FCC5-4F89-97A2-5C2177D5B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346710</xdr:colOff>
      <xdr:row>15</xdr:row>
      <xdr:rowOff>95250</xdr:rowOff>
    </xdr:from>
    <xdr:to>
      <xdr:col>14</xdr:col>
      <xdr:colOff>19050</xdr:colOff>
      <xdr:row>27</xdr:row>
      <xdr:rowOff>95250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08C4E24-D6C9-416C-AFD1-5ACE9ECCE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6F6B-FA98-4758-BF36-1F3C477E90C6}">
  <sheetPr codeName="Sheet1"/>
  <dimension ref="A2:N49"/>
  <sheetViews>
    <sheetView zoomScale="85" zoomScaleNormal="85" workbookViewId="0">
      <pane xSplit="1" topLeftCell="B1" activePane="topRight" state="frozen"/>
      <selection activeCell="A9" sqref="A9"/>
      <selection pane="topRight" activeCell="K17" sqref="K17"/>
    </sheetView>
  </sheetViews>
  <sheetFormatPr defaultRowHeight="18" x14ac:dyDescent="0.45"/>
  <cols>
    <col min="1" max="1" width="19.19921875" customWidth="1"/>
    <col min="2" max="2" width="15.8984375" customWidth="1"/>
    <col min="3" max="3" width="14.59765625" bestFit="1" customWidth="1"/>
    <col min="4" max="4" width="13.59765625" customWidth="1"/>
    <col min="5" max="5" width="15.5" bestFit="1" customWidth="1"/>
    <col min="6" max="6" width="14.59765625" bestFit="1" customWidth="1"/>
    <col min="7" max="7" width="12.3984375" bestFit="1" customWidth="1"/>
    <col min="8" max="8" width="14.59765625" bestFit="1" customWidth="1"/>
    <col min="9" max="9" width="12.3984375" bestFit="1" customWidth="1"/>
    <col min="10" max="10" width="14.59765625" bestFit="1" customWidth="1"/>
    <col min="11" max="11" width="13.796875" bestFit="1" customWidth="1"/>
    <col min="12" max="12" width="13.19921875" bestFit="1" customWidth="1"/>
    <col min="13" max="13" width="15.5" bestFit="1" customWidth="1"/>
    <col min="14" max="14" width="13.19921875" bestFit="1" customWidth="1"/>
  </cols>
  <sheetData>
    <row r="2" spans="1:14" x14ac:dyDescent="0.45">
      <c r="B2" s="5" t="s">
        <v>13</v>
      </c>
      <c r="C2" s="5" t="s">
        <v>14</v>
      </c>
      <c r="D2" s="5" t="s">
        <v>15</v>
      </c>
      <c r="E2" s="5" t="s">
        <v>5</v>
      </c>
      <c r="F2" s="5" t="s">
        <v>6</v>
      </c>
      <c r="G2" s="5" t="s">
        <v>7</v>
      </c>
      <c r="H2" s="5" t="s">
        <v>9</v>
      </c>
      <c r="I2" s="5" t="s">
        <v>10</v>
      </c>
      <c r="J2" s="5" t="s">
        <v>11</v>
      </c>
      <c r="K2" s="5" t="s">
        <v>12</v>
      </c>
      <c r="L2" s="37" t="s">
        <v>16</v>
      </c>
      <c r="M2" s="37"/>
      <c r="N2" s="37"/>
    </row>
    <row r="3" spans="1:14" x14ac:dyDescent="0.45">
      <c r="A3" s="4" t="s">
        <v>3</v>
      </c>
      <c r="B3" s="6"/>
      <c r="C3" s="6">
        <v>120</v>
      </c>
      <c r="D3" s="6"/>
      <c r="E3" s="6">
        <v>390</v>
      </c>
      <c r="F3" s="6"/>
      <c r="G3" s="20">
        <f>C3+E3</f>
        <v>510</v>
      </c>
      <c r="H3" s="7">
        <v>1.3</v>
      </c>
      <c r="I3" s="7">
        <v>1.5</v>
      </c>
      <c r="J3" s="8">
        <f>(G3*H3)</f>
        <v>663</v>
      </c>
      <c r="K3" s="9">
        <f>G3*I3</f>
        <v>765</v>
      </c>
      <c r="L3" s="1">
        <f>J3/6</f>
        <v>110.5</v>
      </c>
      <c r="M3" s="2" t="s">
        <v>8</v>
      </c>
      <c r="N3" s="3">
        <f>K3/6</f>
        <v>127.5</v>
      </c>
    </row>
    <row r="4" spans="1:14" x14ac:dyDescent="0.45">
      <c r="A4" s="4" t="s">
        <v>4</v>
      </c>
      <c r="B4" s="6"/>
      <c r="C4" s="6"/>
      <c r="D4" s="6">
        <v>60</v>
      </c>
      <c r="E4" s="6">
        <v>390</v>
      </c>
      <c r="F4" s="6"/>
      <c r="G4" s="20">
        <f>D4+E4</f>
        <v>450</v>
      </c>
      <c r="H4" s="7">
        <v>1.3</v>
      </c>
      <c r="I4" s="7">
        <v>1.5</v>
      </c>
      <c r="J4" s="8">
        <f>G4*H4</f>
        <v>585</v>
      </c>
      <c r="K4" s="9">
        <f>G4*I4</f>
        <v>675</v>
      </c>
      <c r="L4" s="1">
        <f>J4/6</f>
        <v>97.5</v>
      </c>
      <c r="M4" s="2" t="s">
        <v>8</v>
      </c>
      <c r="N4" s="3">
        <f>K4/6</f>
        <v>112.5</v>
      </c>
    </row>
    <row r="5" spans="1:14" x14ac:dyDescent="0.45">
      <c r="A5" s="4" t="s">
        <v>2</v>
      </c>
      <c r="B5" s="6">
        <v>85</v>
      </c>
      <c r="C5" s="6"/>
      <c r="D5" s="6"/>
      <c r="E5" s="6">
        <v>390</v>
      </c>
      <c r="F5" s="6">
        <v>20</v>
      </c>
      <c r="G5" s="20">
        <f>B5+E5</f>
        <v>475</v>
      </c>
      <c r="H5" s="7">
        <v>1.3</v>
      </c>
      <c r="I5" s="7">
        <v>1.5</v>
      </c>
      <c r="J5" s="8">
        <f>G5*H5</f>
        <v>617.5</v>
      </c>
      <c r="K5" s="9">
        <f>G5*I5</f>
        <v>712.5</v>
      </c>
      <c r="L5" s="1">
        <f>J5/6</f>
        <v>102.91666666666667</v>
      </c>
      <c r="M5" s="2" t="s">
        <v>8</v>
      </c>
      <c r="N5" s="3">
        <f>K5/6</f>
        <v>118.75</v>
      </c>
    </row>
    <row r="6" spans="1:14" x14ac:dyDescent="0.45">
      <c r="A6" s="4" t="s">
        <v>0</v>
      </c>
      <c r="B6" s="6"/>
      <c r="C6" s="6"/>
      <c r="D6" s="6"/>
      <c r="E6" s="6">
        <v>390</v>
      </c>
      <c r="F6" s="6"/>
      <c r="G6" s="20">
        <v>390</v>
      </c>
      <c r="H6" s="7">
        <v>1.3</v>
      </c>
      <c r="I6" s="7">
        <v>1.5</v>
      </c>
      <c r="J6" s="8">
        <f>G6*H6</f>
        <v>507</v>
      </c>
      <c r="K6" s="9">
        <f>G6*I6</f>
        <v>585</v>
      </c>
      <c r="L6" s="15">
        <f>J6/5</f>
        <v>101.4</v>
      </c>
      <c r="M6" s="16" t="s">
        <v>8</v>
      </c>
      <c r="N6" s="17">
        <f>K6/5</f>
        <v>117</v>
      </c>
    </row>
    <row r="7" spans="1:14" x14ac:dyDescent="0.45">
      <c r="A7" s="4" t="s">
        <v>1</v>
      </c>
      <c r="B7" s="6"/>
      <c r="C7" s="6"/>
      <c r="D7" s="6"/>
      <c r="E7" s="6">
        <v>390</v>
      </c>
      <c r="F7" s="6"/>
      <c r="G7" s="20">
        <v>390</v>
      </c>
      <c r="H7" s="7">
        <v>1.3</v>
      </c>
      <c r="I7" s="7">
        <v>1.5</v>
      </c>
      <c r="J7" s="8">
        <f>G7*H7</f>
        <v>507</v>
      </c>
      <c r="K7" s="9">
        <f>G7*I7</f>
        <v>585</v>
      </c>
      <c r="L7" s="1">
        <f>J7/4</f>
        <v>126.75</v>
      </c>
      <c r="M7" s="2" t="s">
        <v>8</v>
      </c>
      <c r="N7" s="3">
        <f>K7/4</f>
        <v>146.25</v>
      </c>
    </row>
    <row r="9" spans="1:14" x14ac:dyDescent="0.45">
      <c r="B9" s="10" t="s">
        <v>73</v>
      </c>
      <c r="C9" s="10"/>
      <c r="D9" s="10"/>
      <c r="E9" s="10" t="s">
        <v>63</v>
      </c>
      <c r="F9" s="10"/>
      <c r="G9" s="10"/>
      <c r="H9" s="10" t="s">
        <v>64</v>
      </c>
      <c r="I9" s="10"/>
      <c r="J9" s="10"/>
      <c r="K9" s="10" t="s">
        <v>65</v>
      </c>
      <c r="L9" s="10"/>
      <c r="M9" s="10" t="s">
        <v>66</v>
      </c>
      <c r="N9" s="10"/>
    </row>
    <row r="10" spans="1:14" x14ac:dyDescent="0.45">
      <c r="B10" s="5" t="s">
        <v>62</v>
      </c>
      <c r="C10" s="5" t="s">
        <v>67</v>
      </c>
      <c r="D10" s="5" t="s">
        <v>85</v>
      </c>
      <c r="E10" s="5" t="s">
        <v>62</v>
      </c>
      <c r="F10" s="5" t="s">
        <v>67</v>
      </c>
      <c r="G10" s="5" t="s">
        <v>85</v>
      </c>
      <c r="H10" s="5" t="s">
        <v>62</v>
      </c>
      <c r="I10" s="5" t="s">
        <v>67</v>
      </c>
      <c r="J10" s="5" t="s">
        <v>85</v>
      </c>
      <c r="K10" s="5" t="s">
        <v>62</v>
      </c>
      <c r="L10" s="5" t="s">
        <v>67</v>
      </c>
      <c r="M10" s="5" t="s">
        <v>62</v>
      </c>
      <c r="N10" s="5" t="s">
        <v>67</v>
      </c>
    </row>
    <row r="11" spans="1:14" x14ac:dyDescent="0.45">
      <c r="A11" s="4" t="s">
        <v>59</v>
      </c>
      <c r="B11" s="10">
        <v>141</v>
      </c>
      <c r="C11" s="10">
        <v>1</v>
      </c>
      <c r="D11" s="10">
        <f t="shared" ref="D11:D33" si="0">B11*C11</f>
        <v>141</v>
      </c>
      <c r="E11" s="10">
        <v>141</v>
      </c>
      <c r="F11" s="10">
        <v>1</v>
      </c>
      <c r="G11" s="10">
        <f>E11*F11</f>
        <v>141</v>
      </c>
      <c r="H11" s="10">
        <v>141</v>
      </c>
      <c r="I11" s="10">
        <v>1</v>
      </c>
      <c r="J11" s="10">
        <f>H11*I11</f>
        <v>141</v>
      </c>
      <c r="K11" s="10"/>
      <c r="L11" s="10"/>
      <c r="M11" s="10"/>
      <c r="N11" s="10"/>
    </row>
    <row r="12" spans="1:14" x14ac:dyDescent="0.45">
      <c r="A12" s="4" t="s">
        <v>54</v>
      </c>
      <c r="B12" s="10">
        <v>8.7200000000000006</v>
      </c>
      <c r="C12" s="10">
        <v>6</v>
      </c>
      <c r="D12" s="10">
        <f t="shared" si="0"/>
        <v>52.320000000000007</v>
      </c>
      <c r="E12" s="10">
        <v>15</v>
      </c>
      <c r="F12" s="10">
        <v>6</v>
      </c>
      <c r="G12" s="10">
        <f t="shared" ref="G12:G36" si="1">E12*F12</f>
        <v>90</v>
      </c>
      <c r="H12" s="10">
        <v>15</v>
      </c>
      <c r="I12" s="10">
        <v>6</v>
      </c>
      <c r="J12" s="10">
        <f t="shared" ref="J12:J36" si="2">H12*I12</f>
        <v>90</v>
      </c>
      <c r="K12" s="10"/>
      <c r="L12" s="10"/>
      <c r="M12" s="10"/>
      <c r="N12" s="10"/>
    </row>
    <row r="13" spans="1:14" x14ac:dyDescent="0.45">
      <c r="A13" s="4" t="s">
        <v>60</v>
      </c>
      <c r="B13" s="10">
        <v>3.9</v>
      </c>
      <c r="C13" s="10">
        <v>6</v>
      </c>
      <c r="D13" s="10">
        <f t="shared" si="0"/>
        <v>23.4</v>
      </c>
      <c r="E13" s="10">
        <v>3.9</v>
      </c>
      <c r="F13" s="10">
        <v>6</v>
      </c>
      <c r="G13" s="10">
        <f t="shared" si="1"/>
        <v>23.4</v>
      </c>
      <c r="H13" s="10">
        <v>3.9</v>
      </c>
      <c r="I13" s="10">
        <v>6</v>
      </c>
      <c r="J13" s="10">
        <f t="shared" si="2"/>
        <v>23.4</v>
      </c>
      <c r="K13" s="10"/>
      <c r="L13" s="10"/>
      <c r="M13" s="10"/>
      <c r="N13" s="10"/>
    </row>
    <row r="14" spans="1:14" x14ac:dyDescent="0.45">
      <c r="A14" s="4" t="s">
        <v>56</v>
      </c>
      <c r="B14" s="10">
        <v>22.5</v>
      </c>
      <c r="C14" s="10">
        <v>1</v>
      </c>
      <c r="D14" s="10">
        <f t="shared" si="0"/>
        <v>22.5</v>
      </c>
      <c r="E14" s="10">
        <v>22.5</v>
      </c>
      <c r="F14" s="10">
        <v>1</v>
      </c>
      <c r="G14" s="10">
        <f t="shared" si="1"/>
        <v>22.5</v>
      </c>
      <c r="H14" s="10">
        <v>22.5</v>
      </c>
      <c r="I14" s="10">
        <v>1</v>
      </c>
      <c r="J14" s="10">
        <f t="shared" si="2"/>
        <v>22.5</v>
      </c>
      <c r="K14" s="10"/>
      <c r="L14" s="10"/>
      <c r="M14" s="10"/>
      <c r="N14" s="10"/>
    </row>
    <row r="15" spans="1:14" x14ac:dyDescent="0.45">
      <c r="A15" s="4" t="s">
        <v>57</v>
      </c>
      <c r="B15" s="10">
        <v>19.46</v>
      </c>
      <c r="C15" s="10">
        <v>1</v>
      </c>
      <c r="D15" s="10">
        <f t="shared" si="0"/>
        <v>19.46</v>
      </c>
      <c r="E15" s="10">
        <v>19.46</v>
      </c>
      <c r="F15" s="10">
        <v>1</v>
      </c>
      <c r="G15" s="10">
        <f t="shared" si="1"/>
        <v>19.46</v>
      </c>
      <c r="H15" s="10">
        <v>19.46</v>
      </c>
      <c r="I15" s="10">
        <v>1</v>
      </c>
      <c r="J15" s="10">
        <f t="shared" si="2"/>
        <v>19.46</v>
      </c>
      <c r="K15" s="10"/>
      <c r="L15" s="10"/>
      <c r="M15" s="10"/>
      <c r="N15" s="10"/>
    </row>
    <row r="16" spans="1:14" x14ac:dyDescent="0.45">
      <c r="A16" s="4" t="s">
        <v>86</v>
      </c>
      <c r="B16" s="10">
        <v>19</v>
      </c>
      <c r="C16" s="10">
        <v>1</v>
      </c>
      <c r="D16" s="10">
        <f t="shared" si="0"/>
        <v>19</v>
      </c>
      <c r="E16" s="10">
        <v>19</v>
      </c>
      <c r="F16" s="10">
        <v>1</v>
      </c>
      <c r="G16" s="10">
        <f t="shared" si="1"/>
        <v>19</v>
      </c>
      <c r="H16" s="10">
        <v>9.5</v>
      </c>
      <c r="I16" s="10">
        <v>1</v>
      </c>
      <c r="J16" s="10">
        <f t="shared" si="2"/>
        <v>9.5</v>
      </c>
      <c r="K16" s="10"/>
      <c r="L16" s="10"/>
      <c r="M16" s="10"/>
      <c r="N16" s="10"/>
    </row>
    <row r="17" spans="1:14" x14ac:dyDescent="0.45">
      <c r="A17" s="4" t="s">
        <v>82</v>
      </c>
      <c r="B17" s="10">
        <v>17.77</v>
      </c>
      <c r="C17" s="10">
        <v>1</v>
      </c>
      <c r="D17" s="10">
        <f t="shared" si="0"/>
        <v>17.77</v>
      </c>
      <c r="E17" s="10">
        <v>17.77</v>
      </c>
      <c r="F17" s="10">
        <v>1</v>
      </c>
      <c r="G17" s="10">
        <f t="shared" si="1"/>
        <v>17.77</v>
      </c>
      <c r="H17" s="10">
        <v>0</v>
      </c>
      <c r="I17" s="10">
        <v>0</v>
      </c>
      <c r="J17" s="10">
        <f t="shared" si="2"/>
        <v>0</v>
      </c>
      <c r="K17" s="10"/>
      <c r="L17" s="10"/>
      <c r="M17" s="10"/>
      <c r="N17" s="10"/>
    </row>
    <row r="18" spans="1:14" x14ac:dyDescent="0.45">
      <c r="A18" s="4" t="s">
        <v>81</v>
      </c>
      <c r="B18" s="10">
        <v>16.809999999999999</v>
      </c>
      <c r="C18" s="10">
        <v>1</v>
      </c>
      <c r="D18" s="10">
        <f t="shared" si="0"/>
        <v>16.809999999999999</v>
      </c>
      <c r="E18" s="10">
        <v>16.809999999999999</v>
      </c>
      <c r="F18" s="10">
        <v>1</v>
      </c>
      <c r="G18" s="10">
        <f t="shared" si="1"/>
        <v>16.809999999999999</v>
      </c>
      <c r="H18" s="10">
        <v>16.809999999999999</v>
      </c>
      <c r="I18" s="10">
        <v>1</v>
      </c>
      <c r="J18" s="10">
        <f t="shared" si="2"/>
        <v>16.809999999999999</v>
      </c>
      <c r="K18" s="10"/>
      <c r="L18" s="10"/>
      <c r="M18" s="10"/>
      <c r="N18" s="10"/>
    </row>
    <row r="19" spans="1:14" x14ac:dyDescent="0.45">
      <c r="A19" s="4" t="s">
        <v>72</v>
      </c>
      <c r="B19" s="10">
        <v>1.72</v>
      </c>
      <c r="C19" s="10">
        <v>6</v>
      </c>
      <c r="D19" s="10">
        <f t="shared" si="0"/>
        <v>10.32</v>
      </c>
      <c r="E19" s="10">
        <v>1.72</v>
      </c>
      <c r="F19" s="10">
        <v>6</v>
      </c>
      <c r="G19" s="10">
        <f t="shared" si="1"/>
        <v>10.32</v>
      </c>
      <c r="H19" s="10">
        <v>0</v>
      </c>
      <c r="I19" s="10">
        <v>0</v>
      </c>
      <c r="J19" s="10">
        <f t="shared" si="2"/>
        <v>0</v>
      </c>
      <c r="K19" s="10"/>
      <c r="L19" s="10"/>
      <c r="M19" s="10"/>
      <c r="N19" s="10"/>
    </row>
    <row r="20" spans="1:14" x14ac:dyDescent="0.45">
      <c r="A20" s="4" t="s">
        <v>80</v>
      </c>
      <c r="B20" s="10">
        <f>9.17+0.73</f>
        <v>9.9</v>
      </c>
      <c r="C20" s="10">
        <v>1</v>
      </c>
      <c r="D20" s="10">
        <f t="shared" si="0"/>
        <v>9.9</v>
      </c>
      <c r="E20" s="10">
        <f>9.17+0.73</f>
        <v>9.9</v>
      </c>
      <c r="F20" s="10">
        <v>1</v>
      </c>
      <c r="G20" s="10">
        <f t="shared" si="1"/>
        <v>9.9</v>
      </c>
      <c r="H20" s="10">
        <v>9.9</v>
      </c>
      <c r="I20" s="10">
        <v>1</v>
      </c>
      <c r="J20" s="10">
        <f t="shared" si="2"/>
        <v>9.9</v>
      </c>
      <c r="K20" s="10"/>
      <c r="L20" s="10"/>
      <c r="M20" s="10"/>
      <c r="N20" s="10"/>
    </row>
    <row r="21" spans="1:14" x14ac:dyDescent="0.45">
      <c r="A21" s="4" t="s">
        <v>61</v>
      </c>
      <c r="B21" s="10">
        <v>1.6</v>
      </c>
      <c r="C21" s="10">
        <v>6</v>
      </c>
      <c r="D21" s="10">
        <f t="shared" si="0"/>
        <v>9.6000000000000014</v>
      </c>
      <c r="E21" s="10">
        <v>1.6</v>
      </c>
      <c r="F21" s="10">
        <v>6</v>
      </c>
      <c r="G21" s="10">
        <f t="shared" si="1"/>
        <v>9.6000000000000014</v>
      </c>
      <c r="H21" s="10">
        <v>1.6</v>
      </c>
      <c r="I21" s="10">
        <v>3</v>
      </c>
      <c r="J21" s="10">
        <f t="shared" si="2"/>
        <v>4.8000000000000007</v>
      </c>
      <c r="K21" s="10"/>
      <c r="L21" s="10"/>
      <c r="M21" s="10"/>
      <c r="N21" s="10"/>
    </row>
    <row r="22" spans="1:14" x14ac:dyDescent="0.45">
      <c r="A22" s="4" t="s">
        <v>70</v>
      </c>
      <c r="B22" s="10">
        <v>9.52</v>
      </c>
      <c r="C22" s="10">
        <v>1</v>
      </c>
      <c r="D22" s="10">
        <f t="shared" si="0"/>
        <v>9.52</v>
      </c>
      <c r="E22" s="10">
        <v>9.52</v>
      </c>
      <c r="F22" s="10">
        <v>1</v>
      </c>
      <c r="G22" s="10">
        <f t="shared" si="1"/>
        <v>9.52</v>
      </c>
      <c r="H22" s="10">
        <v>9.52</v>
      </c>
      <c r="I22" s="10">
        <v>1</v>
      </c>
      <c r="J22" s="10">
        <f t="shared" si="2"/>
        <v>9.52</v>
      </c>
      <c r="K22" s="10"/>
      <c r="L22" s="10"/>
      <c r="M22" s="10"/>
      <c r="N22" s="10"/>
    </row>
    <row r="23" spans="1:14" x14ac:dyDescent="0.45">
      <c r="A23" s="4" t="s">
        <v>55</v>
      </c>
      <c r="B23" s="10">
        <v>1.52</v>
      </c>
      <c r="C23" s="10">
        <v>6</v>
      </c>
      <c r="D23" s="10">
        <f t="shared" si="0"/>
        <v>9.120000000000001</v>
      </c>
      <c r="E23" s="10">
        <v>2.73</v>
      </c>
      <c r="F23" s="10">
        <v>6</v>
      </c>
      <c r="G23" s="10">
        <f t="shared" si="1"/>
        <v>16.38</v>
      </c>
      <c r="H23" s="10">
        <v>2.73</v>
      </c>
      <c r="I23" s="10">
        <v>6</v>
      </c>
      <c r="J23" s="10">
        <f t="shared" si="2"/>
        <v>16.38</v>
      </c>
      <c r="K23" s="10"/>
      <c r="L23" s="10"/>
      <c r="M23" s="10"/>
      <c r="N23" s="10"/>
    </row>
    <row r="24" spans="1:14" x14ac:dyDescent="0.45">
      <c r="A24" s="4" t="s">
        <v>75</v>
      </c>
      <c r="B24" s="10">
        <v>8</v>
      </c>
      <c r="C24" s="10">
        <v>1</v>
      </c>
      <c r="D24" s="10">
        <f t="shared" si="0"/>
        <v>8</v>
      </c>
      <c r="E24" s="10">
        <v>8</v>
      </c>
      <c r="F24" s="10">
        <v>1</v>
      </c>
      <c r="G24" s="10">
        <f t="shared" si="1"/>
        <v>8</v>
      </c>
      <c r="H24" s="10">
        <v>8</v>
      </c>
      <c r="I24" s="10">
        <v>1</v>
      </c>
      <c r="J24" s="10">
        <f t="shared" si="2"/>
        <v>8</v>
      </c>
      <c r="K24" s="10"/>
      <c r="L24" s="10"/>
      <c r="M24" s="10"/>
      <c r="N24" s="10"/>
    </row>
    <row r="25" spans="1:14" x14ac:dyDescent="0.45">
      <c r="A25" s="4" t="s">
        <v>58</v>
      </c>
      <c r="B25" s="10">
        <v>7</v>
      </c>
      <c r="C25" s="10">
        <v>1</v>
      </c>
      <c r="D25" s="10">
        <f t="shared" si="0"/>
        <v>7</v>
      </c>
      <c r="E25" s="10">
        <v>7</v>
      </c>
      <c r="F25" s="10">
        <v>1</v>
      </c>
      <c r="G25" s="10">
        <f t="shared" si="1"/>
        <v>7</v>
      </c>
      <c r="H25" s="10">
        <v>7</v>
      </c>
      <c r="I25" s="10">
        <v>1</v>
      </c>
      <c r="J25" s="10">
        <f t="shared" si="2"/>
        <v>7</v>
      </c>
      <c r="K25" s="10"/>
      <c r="L25" s="10"/>
      <c r="M25" s="10"/>
      <c r="N25" s="10"/>
    </row>
    <row r="26" spans="1:14" x14ac:dyDescent="0.45">
      <c r="A26" s="4" t="s">
        <v>74</v>
      </c>
      <c r="B26" s="10">
        <v>6.64</v>
      </c>
      <c r="C26" s="10">
        <v>1</v>
      </c>
      <c r="D26" s="10">
        <f t="shared" si="0"/>
        <v>6.64</v>
      </c>
      <c r="E26" s="10">
        <v>6.64</v>
      </c>
      <c r="F26" s="10">
        <v>1</v>
      </c>
      <c r="G26" s="10">
        <f t="shared" si="1"/>
        <v>6.64</v>
      </c>
      <c r="H26" s="10">
        <v>6.64</v>
      </c>
      <c r="I26" s="10">
        <v>1</v>
      </c>
      <c r="J26" s="10">
        <f t="shared" si="2"/>
        <v>6.64</v>
      </c>
      <c r="K26" s="10"/>
      <c r="L26" s="10"/>
      <c r="M26" s="10"/>
      <c r="N26" s="10"/>
    </row>
    <row r="27" spans="1:14" x14ac:dyDescent="0.45">
      <c r="A27" s="4" t="s">
        <v>71</v>
      </c>
      <c r="B27" s="10">
        <v>5.25</v>
      </c>
      <c r="C27" s="10">
        <v>1</v>
      </c>
      <c r="D27" s="10">
        <f t="shared" si="0"/>
        <v>5.25</v>
      </c>
      <c r="E27" s="10">
        <v>5.25</v>
      </c>
      <c r="F27" s="10">
        <v>1</v>
      </c>
      <c r="G27" s="10">
        <f t="shared" si="1"/>
        <v>5.25</v>
      </c>
      <c r="H27" s="10">
        <v>5.25</v>
      </c>
      <c r="I27" s="10">
        <v>1</v>
      </c>
      <c r="J27" s="10">
        <f t="shared" si="2"/>
        <v>5.25</v>
      </c>
      <c r="K27" s="10"/>
      <c r="L27" s="10"/>
      <c r="M27" s="10"/>
      <c r="N27" s="10"/>
    </row>
    <row r="28" spans="1:14" x14ac:dyDescent="0.45">
      <c r="A28" s="4" t="s">
        <v>78</v>
      </c>
      <c r="B28" s="10">
        <v>5.09</v>
      </c>
      <c r="C28" s="10">
        <v>1</v>
      </c>
      <c r="D28" s="10">
        <f t="shared" si="0"/>
        <v>5.09</v>
      </c>
      <c r="E28" s="10">
        <v>5.09</v>
      </c>
      <c r="F28" s="10">
        <v>1</v>
      </c>
      <c r="G28" s="10">
        <f t="shared" si="1"/>
        <v>5.09</v>
      </c>
      <c r="H28" s="10">
        <v>5.09</v>
      </c>
      <c r="I28" s="10">
        <v>1</v>
      </c>
      <c r="J28" s="10">
        <f t="shared" si="2"/>
        <v>5.09</v>
      </c>
      <c r="K28" s="10"/>
      <c r="L28" s="10"/>
      <c r="M28" s="10"/>
      <c r="N28" s="10"/>
    </row>
    <row r="29" spans="1:14" x14ac:dyDescent="0.45">
      <c r="A29" s="4" t="s">
        <v>77</v>
      </c>
      <c r="B29" s="10">
        <v>2.7</v>
      </c>
      <c r="C29" s="10">
        <v>1</v>
      </c>
      <c r="D29" s="10">
        <f t="shared" si="0"/>
        <v>2.7</v>
      </c>
      <c r="E29" s="10">
        <v>2.7</v>
      </c>
      <c r="F29" s="10">
        <v>1</v>
      </c>
      <c r="G29" s="10">
        <f t="shared" si="1"/>
        <v>2.7</v>
      </c>
      <c r="H29" s="10">
        <v>2.7</v>
      </c>
      <c r="I29" s="10">
        <v>1</v>
      </c>
      <c r="J29" s="10">
        <f t="shared" si="2"/>
        <v>2.7</v>
      </c>
      <c r="K29" s="10"/>
      <c r="L29" s="10"/>
      <c r="M29" s="10"/>
      <c r="N29" s="10"/>
    </row>
    <row r="30" spans="1:14" x14ac:dyDescent="0.45">
      <c r="A30" s="4" t="s">
        <v>76</v>
      </c>
      <c r="B30" s="10">
        <v>2.21</v>
      </c>
      <c r="C30" s="10">
        <v>1</v>
      </c>
      <c r="D30" s="10">
        <f t="shared" si="0"/>
        <v>2.21</v>
      </c>
      <c r="E30" s="10">
        <v>2.21</v>
      </c>
      <c r="F30" s="10">
        <v>1</v>
      </c>
      <c r="G30" s="10">
        <f t="shared" si="1"/>
        <v>2.21</v>
      </c>
      <c r="H30" s="10">
        <v>1.1499999999999999</v>
      </c>
      <c r="I30" s="10">
        <v>1</v>
      </c>
      <c r="J30" s="10">
        <f t="shared" si="2"/>
        <v>1.1499999999999999</v>
      </c>
      <c r="K30" s="10"/>
      <c r="L30" s="10"/>
      <c r="M30" s="10"/>
      <c r="N30" s="10"/>
    </row>
    <row r="31" spans="1:14" x14ac:dyDescent="0.45">
      <c r="A31" s="4" t="s">
        <v>84</v>
      </c>
      <c r="B31" s="10">
        <v>2.21</v>
      </c>
      <c r="C31" s="10">
        <v>1</v>
      </c>
      <c r="D31" s="10">
        <f t="shared" si="0"/>
        <v>2.21</v>
      </c>
      <c r="E31" s="10">
        <v>2.21</v>
      </c>
      <c r="F31" s="10">
        <v>1</v>
      </c>
      <c r="G31" s="10">
        <f t="shared" si="1"/>
        <v>2.21</v>
      </c>
      <c r="H31" s="10">
        <v>2.21</v>
      </c>
      <c r="I31" s="10">
        <v>1</v>
      </c>
      <c r="J31" s="10">
        <f t="shared" si="2"/>
        <v>2.21</v>
      </c>
      <c r="K31" s="10"/>
      <c r="L31" s="10"/>
      <c r="M31" s="10"/>
      <c r="N31" s="10"/>
    </row>
    <row r="32" spans="1:14" x14ac:dyDescent="0.45">
      <c r="A32" s="4" t="s">
        <v>83</v>
      </c>
      <c r="B32" s="10">
        <v>1.1399999999999999</v>
      </c>
      <c r="C32" s="10">
        <v>1</v>
      </c>
      <c r="D32" s="10">
        <f t="shared" si="0"/>
        <v>1.1399999999999999</v>
      </c>
      <c r="E32" s="10">
        <v>1.1399999999999999</v>
      </c>
      <c r="F32" s="10">
        <v>1</v>
      </c>
      <c r="G32" s="10">
        <f t="shared" si="1"/>
        <v>1.1399999999999999</v>
      </c>
      <c r="H32" s="10">
        <v>0</v>
      </c>
      <c r="I32" s="10">
        <v>0</v>
      </c>
      <c r="J32" s="10">
        <f t="shared" si="2"/>
        <v>0</v>
      </c>
      <c r="K32" s="10"/>
      <c r="L32" s="10"/>
      <c r="M32" s="10"/>
      <c r="N32" s="10"/>
    </row>
    <row r="33" spans="1:14" x14ac:dyDescent="0.45">
      <c r="A33" s="4" t="s">
        <v>79</v>
      </c>
      <c r="B33" s="10">
        <v>0.18</v>
      </c>
      <c r="C33" s="10">
        <v>6</v>
      </c>
      <c r="D33" s="10">
        <f t="shared" si="0"/>
        <v>1.08</v>
      </c>
      <c r="E33" s="10">
        <v>0.18</v>
      </c>
      <c r="F33" s="10">
        <v>6</v>
      </c>
      <c r="G33" s="10">
        <f t="shared" si="1"/>
        <v>1.08</v>
      </c>
      <c r="H33" s="10">
        <v>0.18</v>
      </c>
      <c r="I33" s="10">
        <v>6</v>
      </c>
      <c r="J33" s="10">
        <f t="shared" si="2"/>
        <v>1.08</v>
      </c>
      <c r="K33" s="10"/>
      <c r="L33" s="10"/>
      <c r="M33" s="10"/>
      <c r="N33" s="10"/>
    </row>
    <row r="34" spans="1:14" x14ac:dyDescent="0.45">
      <c r="A34" s="4" t="s">
        <v>90</v>
      </c>
      <c r="B34" s="10"/>
      <c r="C34" s="10"/>
      <c r="D34" s="10">
        <f>B34*C34</f>
        <v>0</v>
      </c>
      <c r="E34" s="10"/>
      <c r="F34" s="10"/>
      <c r="G34" s="10">
        <f t="shared" si="1"/>
        <v>0</v>
      </c>
      <c r="H34" s="10"/>
      <c r="I34" s="10"/>
      <c r="J34" s="10">
        <f t="shared" si="2"/>
        <v>0</v>
      </c>
      <c r="K34" s="10"/>
      <c r="L34" s="10"/>
      <c r="M34" s="10"/>
      <c r="N34" s="10"/>
    </row>
    <row r="35" spans="1:14" x14ac:dyDescent="0.45">
      <c r="A35" s="4"/>
      <c r="B35" s="10"/>
      <c r="C35" s="10"/>
      <c r="D35" s="10">
        <f>B35*C35</f>
        <v>0</v>
      </c>
      <c r="E35" s="10"/>
      <c r="F35" s="10"/>
      <c r="G35" s="10">
        <f t="shared" si="1"/>
        <v>0</v>
      </c>
      <c r="H35" s="10"/>
      <c r="I35" s="10"/>
      <c r="J35" s="10">
        <f t="shared" si="2"/>
        <v>0</v>
      </c>
      <c r="K35" s="10"/>
      <c r="L35" s="10"/>
      <c r="M35" s="10"/>
      <c r="N35" s="10"/>
    </row>
    <row r="36" spans="1:14" x14ac:dyDescent="0.45">
      <c r="A36" s="4"/>
      <c r="B36" s="10"/>
      <c r="C36" s="10"/>
      <c r="D36" s="10">
        <f>B36*C36</f>
        <v>0</v>
      </c>
      <c r="E36" s="10"/>
      <c r="F36" s="10"/>
      <c r="G36" s="10">
        <f t="shared" si="1"/>
        <v>0</v>
      </c>
      <c r="H36" s="10"/>
      <c r="I36" s="10"/>
      <c r="J36" s="10">
        <f t="shared" si="2"/>
        <v>0</v>
      </c>
      <c r="K36" s="10"/>
      <c r="L36" s="10"/>
      <c r="M36" s="10"/>
      <c r="N36" s="10"/>
    </row>
    <row r="37" spans="1:14" x14ac:dyDescent="0.45">
      <c r="A37" s="20" t="s">
        <v>87</v>
      </c>
      <c r="B37" s="10"/>
      <c r="C37" s="10"/>
      <c r="D37" s="10">
        <f>SUM(D11:D36)</f>
        <v>402.03999999999985</v>
      </c>
      <c r="E37" s="10"/>
      <c r="F37" s="10"/>
      <c r="G37" s="10">
        <f>SUM(G11:G36)</f>
        <v>446.97999999999979</v>
      </c>
      <c r="H37" s="10"/>
      <c r="I37" s="10"/>
      <c r="J37" s="10">
        <f>SUM(J11:J33)</f>
        <v>402.38999999999982</v>
      </c>
      <c r="K37" s="10"/>
      <c r="L37" s="10"/>
      <c r="M37" s="10"/>
      <c r="N37" s="10"/>
    </row>
    <row r="38" spans="1:14" x14ac:dyDescent="0.45">
      <c r="B38" s="34"/>
      <c r="C38" s="35"/>
      <c r="D38" s="36"/>
      <c r="E38" s="34" t="s">
        <v>88</v>
      </c>
      <c r="F38" s="35"/>
      <c r="G38" s="36"/>
      <c r="H38" s="34" t="s">
        <v>88</v>
      </c>
      <c r="I38" s="35"/>
      <c r="J38" s="36"/>
    </row>
    <row r="39" spans="1:14" x14ac:dyDescent="0.45">
      <c r="B39" s="34"/>
      <c r="C39" s="35"/>
      <c r="D39" s="36"/>
      <c r="E39" s="34"/>
      <c r="F39" s="35"/>
      <c r="G39" s="36"/>
      <c r="H39" s="34" t="s">
        <v>94</v>
      </c>
      <c r="I39" s="35"/>
      <c r="J39" s="36"/>
    </row>
    <row r="40" spans="1:14" x14ac:dyDescent="0.45">
      <c r="B40" s="34"/>
      <c r="C40" s="35"/>
      <c r="D40" s="36"/>
      <c r="E40" s="34" t="s">
        <v>89</v>
      </c>
      <c r="F40" s="35"/>
      <c r="G40" s="36"/>
      <c r="H40" s="34" t="s">
        <v>95</v>
      </c>
      <c r="I40" s="35"/>
      <c r="J40" s="36"/>
    </row>
    <row r="41" spans="1:14" x14ac:dyDescent="0.45">
      <c r="B41" s="34"/>
      <c r="C41" s="35"/>
      <c r="D41" s="36"/>
      <c r="E41" s="34" t="s">
        <v>93</v>
      </c>
      <c r="F41" s="35"/>
      <c r="G41" s="36"/>
      <c r="H41" s="34" t="s">
        <v>96</v>
      </c>
      <c r="I41" s="35"/>
      <c r="J41" s="36"/>
    </row>
    <row r="42" spans="1:14" x14ac:dyDescent="0.45">
      <c r="B42" s="34"/>
      <c r="C42" s="35"/>
      <c r="D42" s="36"/>
      <c r="E42" s="34" t="s">
        <v>91</v>
      </c>
      <c r="F42" s="35"/>
      <c r="G42" s="36"/>
      <c r="H42" s="34" t="s">
        <v>97</v>
      </c>
      <c r="I42" s="35"/>
      <c r="J42" s="36"/>
    </row>
    <row r="43" spans="1:14" x14ac:dyDescent="0.45">
      <c r="B43" s="34"/>
      <c r="C43" s="35"/>
      <c r="D43" s="36"/>
      <c r="E43" s="34" t="s">
        <v>92</v>
      </c>
      <c r="F43" s="35"/>
      <c r="G43" s="36"/>
      <c r="H43" s="34" t="s">
        <v>98</v>
      </c>
      <c r="I43" s="35"/>
      <c r="J43" s="36"/>
    </row>
    <row r="44" spans="1:14" x14ac:dyDescent="0.45">
      <c r="B44" s="34"/>
      <c r="C44" s="35"/>
      <c r="D44" s="36"/>
      <c r="E44" s="34"/>
      <c r="F44" s="35"/>
      <c r="G44" s="36"/>
      <c r="H44" s="34" t="s">
        <v>101</v>
      </c>
      <c r="I44" s="35"/>
      <c r="J44" s="36"/>
    </row>
    <row r="45" spans="1:14" x14ac:dyDescent="0.45">
      <c r="B45" s="34"/>
      <c r="C45" s="35"/>
      <c r="D45" s="36"/>
      <c r="E45" s="34"/>
      <c r="F45" s="35"/>
      <c r="G45" s="36"/>
      <c r="H45" s="34" t="s">
        <v>100</v>
      </c>
      <c r="I45" s="35"/>
      <c r="J45" s="36"/>
    </row>
    <row r="46" spans="1:14" x14ac:dyDescent="0.45">
      <c r="B46" s="34"/>
      <c r="C46" s="35"/>
      <c r="D46" s="36"/>
      <c r="E46" s="34"/>
      <c r="F46" s="35"/>
      <c r="G46" s="36"/>
      <c r="H46" s="34" t="s">
        <v>99</v>
      </c>
      <c r="I46" s="35"/>
      <c r="J46" s="36"/>
    </row>
    <row r="47" spans="1:14" x14ac:dyDescent="0.45">
      <c r="H47" s="34" t="s">
        <v>91</v>
      </c>
      <c r="I47" s="35"/>
      <c r="J47" s="36"/>
    </row>
    <row r="48" spans="1:14" x14ac:dyDescent="0.45">
      <c r="H48" s="34" t="s">
        <v>102</v>
      </c>
      <c r="I48" s="35"/>
      <c r="J48" s="36"/>
    </row>
    <row r="49" spans="8:10" x14ac:dyDescent="0.45">
      <c r="H49" s="34"/>
      <c r="I49" s="35"/>
      <c r="J49" s="36"/>
    </row>
  </sheetData>
  <sortState xmlns:xlrd2="http://schemas.microsoft.com/office/spreadsheetml/2017/richdata2" ref="A11:D36">
    <sortCondition descending="1" ref="D11:D36"/>
  </sortState>
  <mergeCells count="31">
    <mergeCell ref="H42:J42"/>
    <mergeCell ref="E42:G42"/>
    <mergeCell ref="L2:N2"/>
    <mergeCell ref="E38:G38"/>
    <mergeCell ref="E39:G39"/>
    <mergeCell ref="E40:G40"/>
    <mergeCell ref="E41:G41"/>
    <mergeCell ref="H38:J38"/>
    <mergeCell ref="H39:J39"/>
    <mergeCell ref="H40:J40"/>
    <mergeCell ref="H41:J41"/>
    <mergeCell ref="B38:D38"/>
    <mergeCell ref="B39:D39"/>
    <mergeCell ref="B40:D40"/>
    <mergeCell ref="B41:D41"/>
    <mergeCell ref="B42:D42"/>
    <mergeCell ref="H47:J47"/>
    <mergeCell ref="H48:J48"/>
    <mergeCell ref="H49:J49"/>
    <mergeCell ref="B43:D43"/>
    <mergeCell ref="B44:D44"/>
    <mergeCell ref="B45:D45"/>
    <mergeCell ref="B46:D46"/>
    <mergeCell ref="H43:J43"/>
    <mergeCell ref="H44:J44"/>
    <mergeCell ref="H45:J45"/>
    <mergeCell ref="H46:J46"/>
    <mergeCell ref="E43:G43"/>
    <mergeCell ref="E44:G44"/>
    <mergeCell ref="E45:G45"/>
    <mergeCell ref="E46:G4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358E-CF25-48DB-A515-174CE095E5FF}">
  <sheetPr codeName="Sheet2"/>
  <dimension ref="C1:AK91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AK12" sqref="AK12"/>
    </sheetView>
  </sheetViews>
  <sheetFormatPr defaultRowHeight="18" x14ac:dyDescent="0.45"/>
  <cols>
    <col min="3" max="3" width="20.3984375" bestFit="1" customWidth="1"/>
    <col min="4" max="4" width="19.19921875" bestFit="1" customWidth="1"/>
    <col min="5" max="5" width="17.296875" bestFit="1" customWidth="1"/>
    <col min="6" max="6" width="16.19921875" bestFit="1" customWidth="1"/>
    <col min="7" max="7" width="15.796875" bestFit="1" customWidth="1"/>
    <col min="8" max="8" width="16.19921875" bestFit="1" customWidth="1"/>
    <col min="9" max="9" width="20.3984375" bestFit="1" customWidth="1"/>
    <col min="10" max="10" width="16.19921875" bestFit="1" customWidth="1"/>
    <col min="11" max="11" width="15.796875" style="10" bestFit="1" customWidth="1"/>
    <col min="12" max="12" width="15.796875" style="11" customWidth="1"/>
    <col min="13" max="13" width="20.296875" style="10" bestFit="1" customWidth="1"/>
    <col min="14" max="14" width="10.59765625" style="11" bestFit="1" customWidth="1"/>
    <col min="30" max="30" width="15.69921875" bestFit="1" customWidth="1"/>
    <col min="31" max="31" width="7.19921875" bestFit="1" customWidth="1"/>
    <col min="34" max="34" width="20.5" bestFit="1" customWidth="1"/>
    <col min="35" max="35" width="10.59765625" bestFit="1" customWidth="1"/>
  </cols>
  <sheetData>
    <row r="1" spans="3:37" ht="41.4" x14ac:dyDescent="0.45">
      <c r="C1" s="10"/>
      <c r="D1" s="10" t="s">
        <v>49</v>
      </c>
      <c r="E1" s="11" t="s">
        <v>26</v>
      </c>
      <c r="F1" s="10" t="s">
        <v>27</v>
      </c>
      <c r="G1" s="11" t="s">
        <v>23</v>
      </c>
      <c r="H1" s="10" t="s">
        <v>24</v>
      </c>
      <c r="I1" s="11" t="s">
        <v>25</v>
      </c>
      <c r="J1" s="10" t="s">
        <v>43</v>
      </c>
      <c r="K1" s="13" t="s">
        <v>30</v>
      </c>
      <c r="L1" s="10" t="s">
        <v>31</v>
      </c>
      <c r="M1" s="11" t="s">
        <v>32</v>
      </c>
      <c r="N1" s="10" t="s">
        <v>28</v>
      </c>
      <c r="O1" s="11" t="s">
        <v>29</v>
      </c>
      <c r="P1" s="19" t="s">
        <v>69</v>
      </c>
      <c r="AB1" s="21" t="s">
        <v>103</v>
      </c>
      <c r="AD1" t="s">
        <v>106</v>
      </c>
      <c r="AE1" t="s">
        <v>105</v>
      </c>
      <c r="AF1" t="s">
        <v>35</v>
      </c>
      <c r="AG1" t="s">
        <v>104</v>
      </c>
      <c r="AH1" t="s">
        <v>107</v>
      </c>
      <c r="AI1" t="s">
        <v>105</v>
      </c>
      <c r="AJ1" t="s">
        <v>35</v>
      </c>
      <c r="AK1" t="s">
        <v>104</v>
      </c>
    </row>
    <row r="2" spans="3:37" x14ac:dyDescent="0.45">
      <c r="C2" s="29" t="s">
        <v>17</v>
      </c>
      <c r="D2" s="23">
        <v>2.73</v>
      </c>
      <c r="E2" s="26">
        <v>8.7200000000000006</v>
      </c>
      <c r="F2" s="23" t="s">
        <v>33</v>
      </c>
      <c r="G2" s="11">
        <v>6</v>
      </c>
      <c r="H2" s="10">
        <v>5494</v>
      </c>
      <c r="I2" s="11">
        <v>17.5</v>
      </c>
      <c r="J2" s="10"/>
      <c r="K2" s="11">
        <v>7.4</v>
      </c>
      <c r="L2" s="18">
        <v>0.38</v>
      </c>
      <c r="M2" s="11">
        <f>I2/L2</f>
        <v>46.05263157894737</v>
      </c>
      <c r="N2" s="10">
        <f>(H2*PI()/30)^2</f>
        <v>331004.99394248851</v>
      </c>
      <c r="O2" s="11">
        <f>I2*9.81/1000</f>
        <v>0.17167500000000002</v>
      </c>
      <c r="P2">
        <f>(I2*11.1)/7.4</f>
        <v>26.25</v>
      </c>
      <c r="AE2">
        <v>0</v>
      </c>
      <c r="AI2">
        <v>30</v>
      </c>
      <c r="AJ2" s="22">
        <v>150.47999999999999</v>
      </c>
      <c r="AK2">
        <v>532</v>
      </c>
    </row>
    <row r="3" spans="3:37" x14ac:dyDescent="0.45">
      <c r="C3" s="29"/>
      <c r="D3" s="24"/>
      <c r="E3" s="27"/>
      <c r="F3" s="24"/>
      <c r="G3" s="11">
        <v>8</v>
      </c>
      <c r="H3" s="10">
        <v>6351</v>
      </c>
      <c r="I3" s="11">
        <v>23</v>
      </c>
      <c r="J3" s="10"/>
      <c r="K3" s="11">
        <v>7.4</v>
      </c>
      <c r="L3" s="18">
        <v>0.53</v>
      </c>
      <c r="M3" s="11">
        <f t="shared" ref="M3:M57" si="0">I3/L3</f>
        <v>43.39622641509434</v>
      </c>
      <c r="N3" s="10">
        <f t="shared" ref="N3:N57" si="1">(H3*PI()/30)^2</f>
        <v>442324.9747871377</v>
      </c>
      <c r="O3" s="11">
        <f t="shared" ref="O3:O57" si="2">I3*9.81/1000</f>
        <v>0.22563000000000002</v>
      </c>
      <c r="P3">
        <f t="shared" ref="P3:P66" si="3">(I3*11.1)/7.4</f>
        <v>34.499999999999993</v>
      </c>
      <c r="AE3">
        <v>30</v>
      </c>
      <c r="AI3">
        <v>60</v>
      </c>
      <c r="AJ3" s="22"/>
      <c r="AK3">
        <v>525</v>
      </c>
    </row>
    <row r="4" spans="3:37" x14ac:dyDescent="0.45">
      <c r="C4" s="29"/>
      <c r="D4" s="24"/>
      <c r="E4" s="27"/>
      <c r="F4" s="24"/>
      <c r="G4" s="11">
        <v>10</v>
      </c>
      <c r="H4" s="10">
        <v>7225</v>
      </c>
      <c r="I4" s="11">
        <v>33.1</v>
      </c>
      <c r="J4" s="10"/>
      <c r="K4" s="11">
        <v>7.4</v>
      </c>
      <c r="L4" s="18">
        <v>0.72</v>
      </c>
      <c r="M4" s="11">
        <f t="shared" si="0"/>
        <v>45.972222222222229</v>
      </c>
      <c r="N4" s="10">
        <f t="shared" si="1"/>
        <v>572443.90915512783</v>
      </c>
      <c r="O4" s="11">
        <f t="shared" si="2"/>
        <v>0.32471100000000003</v>
      </c>
      <c r="P4">
        <f t="shared" si="3"/>
        <v>49.65</v>
      </c>
      <c r="AE4">
        <v>60</v>
      </c>
      <c r="AI4">
        <v>90</v>
      </c>
      <c r="AJ4" s="22"/>
      <c r="AK4">
        <v>515</v>
      </c>
    </row>
    <row r="5" spans="3:37" x14ac:dyDescent="0.45">
      <c r="C5" s="29"/>
      <c r="D5" s="24"/>
      <c r="E5" s="27"/>
      <c r="F5" s="24"/>
      <c r="G5" s="11">
        <v>12</v>
      </c>
      <c r="H5" s="10">
        <v>8060</v>
      </c>
      <c r="I5" s="11">
        <v>41.5</v>
      </c>
      <c r="J5" s="10"/>
      <c r="K5" s="11">
        <v>7.4</v>
      </c>
      <c r="L5" s="18">
        <v>0.91</v>
      </c>
      <c r="M5" s="11">
        <f t="shared" si="0"/>
        <v>45.604395604395606</v>
      </c>
      <c r="N5" s="10">
        <f t="shared" si="1"/>
        <v>712405.59163400962</v>
      </c>
      <c r="O5" s="11">
        <f t="shared" si="2"/>
        <v>0.407115</v>
      </c>
      <c r="P5">
        <f t="shared" si="3"/>
        <v>62.249999999999993</v>
      </c>
      <c r="AE5">
        <v>90</v>
      </c>
      <c r="AI5">
        <v>120</v>
      </c>
      <c r="AJ5" s="22"/>
      <c r="AK5">
        <v>502</v>
      </c>
    </row>
    <row r="6" spans="3:37" x14ac:dyDescent="0.45">
      <c r="C6" s="29"/>
      <c r="D6" s="24"/>
      <c r="E6" s="27"/>
      <c r="F6" s="24"/>
      <c r="G6" s="11">
        <v>14</v>
      </c>
      <c r="H6" s="10">
        <v>8400</v>
      </c>
      <c r="I6" s="11">
        <v>49.2</v>
      </c>
      <c r="J6" s="10"/>
      <c r="K6" s="11">
        <v>7.4</v>
      </c>
      <c r="L6" s="18">
        <v>1.1000000000000001</v>
      </c>
      <c r="M6" s="11">
        <f t="shared" si="0"/>
        <v>44.727272727272727</v>
      </c>
      <c r="N6" s="10">
        <f t="shared" si="1"/>
        <v>773776.98504540557</v>
      </c>
      <c r="O6" s="11">
        <f t="shared" si="2"/>
        <v>0.48265200000000003</v>
      </c>
      <c r="P6">
        <f t="shared" si="3"/>
        <v>73.8</v>
      </c>
      <c r="AE6">
        <v>120</v>
      </c>
      <c r="AI6">
        <v>150</v>
      </c>
      <c r="AJ6" s="22"/>
      <c r="AK6">
        <v>498</v>
      </c>
    </row>
    <row r="7" spans="3:37" x14ac:dyDescent="0.45">
      <c r="C7" s="29"/>
      <c r="D7" s="24"/>
      <c r="E7" s="27"/>
      <c r="F7" s="24"/>
      <c r="G7" s="11">
        <v>16</v>
      </c>
      <c r="H7" s="10">
        <v>9018</v>
      </c>
      <c r="I7" s="11">
        <v>57</v>
      </c>
      <c r="J7" s="10"/>
      <c r="K7" s="11">
        <v>7.4</v>
      </c>
      <c r="L7" s="18">
        <v>1.29</v>
      </c>
      <c r="M7" s="11">
        <f t="shared" si="0"/>
        <v>44.186046511627907</v>
      </c>
      <c r="N7" s="10">
        <f t="shared" si="1"/>
        <v>891821.00674001884</v>
      </c>
      <c r="O7" s="11">
        <f t="shared" si="2"/>
        <v>0.55917000000000006</v>
      </c>
      <c r="P7">
        <f t="shared" si="3"/>
        <v>85.499999999999986</v>
      </c>
      <c r="AE7">
        <v>150</v>
      </c>
      <c r="AI7">
        <v>180</v>
      </c>
      <c r="AJ7" s="22"/>
      <c r="AK7">
        <v>494</v>
      </c>
    </row>
    <row r="8" spans="3:37" x14ac:dyDescent="0.45">
      <c r="C8" s="29"/>
      <c r="D8" s="25"/>
      <c r="E8" s="28"/>
      <c r="F8" s="25"/>
      <c r="G8" s="11">
        <v>18</v>
      </c>
      <c r="H8" s="10">
        <v>9601</v>
      </c>
      <c r="I8" s="11">
        <v>67.5</v>
      </c>
      <c r="J8" s="10"/>
      <c r="K8" s="11">
        <v>7.4</v>
      </c>
      <c r="L8" s="18">
        <v>1.57</v>
      </c>
      <c r="M8" s="11">
        <f t="shared" si="0"/>
        <v>42.993630573248403</v>
      </c>
      <c r="N8" s="10">
        <f t="shared" si="1"/>
        <v>1010858.0531983341</v>
      </c>
      <c r="O8" s="11">
        <f t="shared" si="2"/>
        <v>0.66217500000000007</v>
      </c>
      <c r="P8">
        <f t="shared" si="3"/>
        <v>101.25</v>
      </c>
      <c r="AE8">
        <v>180</v>
      </c>
      <c r="AI8">
        <v>210</v>
      </c>
      <c r="AJ8" s="22"/>
      <c r="AK8">
        <v>487</v>
      </c>
    </row>
    <row r="9" spans="3:37" x14ac:dyDescent="0.45">
      <c r="C9" s="30" t="s">
        <v>18</v>
      </c>
      <c r="D9" s="23">
        <v>2.36</v>
      </c>
      <c r="E9" s="26">
        <v>8.7200000000000006</v>
      </c>
      <c r="F9" s="23" t="s">
        <v>33</v>
      </c>
      <c r="G9" s="11">
        <v>6</v>
      </c>
      <c r="H9" s="10">
        <v>7342</v>
      </c>
      <c r="I9" s="11">
        <v>29.6</v>
      </c>
      <c r="J9" s="10">
        <v>7.4</v>
      </c>
      <c r="K9" s="11">
        <v>7.4</v>
      </c>
      <c r="L9" s="18">
        <v>0.82</v>
      </c>
      <c r="M9" s="11">
        <f t="shared" si="0"/>
        <v>36.09756097560976</v>
      </c>
      <c r="N9" s="10">
        <f t="shared" si="1"/>
        <v>591134.07770551485</v>
      </c>
      <c r="O9" s="11">
        <f t="shared" si="2"/>
        <v>0.29037600000000002</v>
      </c>
      <c r="P9">
        <f t="shared" si="3"/>
        <v>44.4</v>
      </c>
      <c r="AE9">
        <v>210</v>
      </c>
      <c r="AI9">
        <v>240</v>
      </c>
      <c r="AJ9" s="22"/>
      <c r="AK9">
        <v>480</v>
      </c>
    </row>
    <row r="10" spans="3:37" x14ac:dyDescent="0.45">
      <c r="C10" s="30"/>
      <c r="D10" s="24"/>
      <c r="E10" s="27"/>
      <c r="F10" s="24"/>
      <c r="G10" s="11">
        <v>8</v>
      </c>
      <c r="H10" s="10">
        <v>8604</v>
      </c>
      <c r="I10" s="11">
        <v>42.3</v>
      </c>
      <c r="J10" s="10">
        <v>7.4</v>
      </c>
      <c r="K10" s="11">
        <v>7.4</v>
      </c>
      <c r="L10" s="18">
        <v>1.1200000000000001</v>
      </c>
      <c r="M10" s="11">
        <f t="shared" si="0"/>
        <v>37.767857142857139</v>
      </c>
      <c r="N10" s="10">
        <f t="shared" si="1"/>
        <v>811816.80911226035</v>
      </c>
      <c r="O10" s="11">
        <f t="shared" si="2"/>
        <v>0.41496299999999997</v>
      </c>
      <c r="P10">
        <f t="shared" si="3"/>
        <v>63.449999999999996</v>
      </c>
      <c r="AE10">
        <v>240</v>
      </c>
      <c r="AI10">
        <v>270</v>
      </c>
      <c r="AJ10" s="22"/>
      <c r="AK10">
        <v>475</v>
      </c>
    </row>
    <row r="11" spans="3:37" x14ac:dyDescent="0.45">
      <c r="C11" s="30"/>
      <c r="D11" s="24"/>
      <c r="E11" s="27"/>
      <c r="F11" s="24"/>
      <c r="G11" s="11">
        <v>10</v>
      </c>
      <c r="H11" s="10">
        <v>9472</v>
      </c>
      <c r="I11" s="11">
        <v>52.3</v>
      </c>
      <c r="J11" s="10">
        <v>7.4</v>
      </c>
      <c r="K11" s="11">
        <v>7.4</v>
      </c>
      <c r="L11" s="18">
        <v>1.38</v>
      </c>
      <c r="M11" s="11">
        <f t="shared" si="0"/>
        <v>37.89855072463768</v>
      </c>
      <c r="N11" s="10">
        <f t="shared" si="1"/>
        <v>983876.56158531725</v>
      </c>
      <c r="O11" s="11">
        <f t="shared" si="2"/>
        <v>0.51306299999999994</v>
      </c>
      <c r="P11">
        <f t="shared" si="3"/>
        <v>78.449999999999989</v>
      </c>
      <c r="AE11">
        <v>270</v>
      </c>
      <c r="AI11">
        <v>300</v>
      </c>
      <c r="AJ11" s="22"/>
      <c r="AK11">
        <v>470</v>
      </c>
    </row>
    <row r="12" spans="3:37" x14ac:dyDescent="0.45">
      <c r="C12" s="30"/>
      <c r="D12" s="24"/>
      <c r="E12" s="27"/>
      <c r="F12" s="24"/>
      <c r="G12" s="11">
        <v>12</v>
      </c>
      <c r="H12" s="10">
        <v>10366</v>
      </c>
      <c r="I12" s="11">
        <v>62.6</v>
      </c>
      <c r="J12" s="10">
        <v>7.4</v>
      </c>
      <c r="K12" s="11">
        <v>7.4</v>
      </c>
      <c r="L12" s="18">
        <v>1.69</v>
      </c>
      <c r="M12" s="11">
        <f t="shared" si="0"/>
        <v>37.041420118343197</v>
      </c>
      <c r="N12" s="10">
        <f t="shared" si="1"/>
        <v>1178364.4856134027</v>
      </c>
      <c r="O12" s="11">
        <f t="shared" si="2"/>
        <v>0.61410600000000004</v>
      </c>
      <c r="P12">
        <f t="shared" si="3"/>
        <v>93.899999999999991</v>
      </c>
      <c r="AE12">
        <v>300</v>
      </c>
      <c r="AI12">
        <v>330</v>
      </c>
      <c r="AJ12" s="22"/>
    </row>
    <row r="13" spans="3:37" x14ac:dyDescent="0.45">
      <c r="C13" s="30"/>
      <c r="D13" s="24"/>
      <c r="E13" s="27"/>
      <c r="F13" s="24"/>
      <c r="G13" s="11">
        <v>14</v>
      </c>
      <c r="H13" s="10">
        <v>11157</v>
      </c>
      <c r="I13" s="11">
        <v>72</v>
      </c>
      <c r="J13" s="10">
        <v>7.4</v>
      </c>
      <c r="K13" s="11">
        <v>7.4</v>
      </c>
      <c r="L13" s="18">
        <v>1.98</v>
      </c>
      <c r="M13" s="11">
        <f t="shared" si="0"/>
        <v>36.363636363636367</v>
      </c>
      <c r="N13" s="10">
        <f t="shared" si="1"/>
        <v>1365061.1355689524</v>
      </c>
      <c r="O13" s="11">
        <f t="shared" si="2"/>
        <v>0.70632000000000006</v>
      </c>
      <c r="P13">
        <f t="shared" si="3"/>
        <v>107.99999999999999</v>
      </c>
      <c r="AE13">
        <v>330</v>
      </c>
      <c r="AI13">
        <v>360</v>
      </c>
      <c r="AJ13" s="22"/>
    </row>
    <row r="14" spans="3:37" x14ac:dyDescent="0.45">
      <c r="C14" s="30"/>
      <c r="D14" s="24"/>
      <c r="E14" s="27"/>
      <c r="F14" s="24"/>
      <c r="G14" s="11">
        <v>16</v>
      </c>
      <c r="H14" s="14">
        <v>11760</v>
      </c>
      <c r="I14" s="11">
        <v>80.599999999999994</v>
      </c>
      <c r="J14" s="10">
        <v>7.4</v>
      </c>
      <c r="K14" s="11">
        <v>7.4</v>
      </c>
      <c r="L14" s="18">
        <v>2.2599999999999998</v>
      </c>
      <c r="M14" s="11">
        <f t="shared" si="0"/>
        <v>35.663716814159294</v>
      </c>
      <c r="N14" s="10">
        <f t="shared" si="1"/>
        <v>1516602.8906889949</v>
      </c>
      <c r="O14" s="11">
        <f t="shared" si="2"/>
        <v>0.790686</v>
      </c>
      <c r="P14">
        <f t="shared" si="3"/>
        <v>120.89999999999998</v>
      </c>
      <c r="AE14">
        <v>360</v>
      </c>
      <c r="AI14">
        <v>390</v>
      </c>
      <c r="AJ14" s="22"/>
    </row>
    <row r="15" spans="3:37" x14ac:dyDescent="0.45">
      <c r="C15" s="30"/>
      <c r="D15" s="25"/>
      <c r="E15" s="28"/>
      <c r="F15" s="25"/>
      <c r="G15" s="11">
        <v>18</v>
      </c>
      <c r="H15" s="10">
        <v>12269</v>
      </c>
      <c r="I15" s="12">
        <v>89</v>
      </c>
      <c r="J15" s="10">
        <v>7.4</v>
      </c>
      <c r="K15" s="11">
        <v>7.4</v>
      </c>
      <c r="L15" s="18">
        <v>2.52</v>
      </c>
      <c r="M15" s="11">
        <f>I15/L15</f>
        <v>35.317460317460316</v>
      </c>
      <c r="N15" s="10">
        <f t="shared" si="1"/>
        <v>1650728.1935715196</v>
      </c>
      <c r="O15" s="11">
        <f>I15*9.81/1000</f>
        <v>0.87309000000000003</v>
      </c>
      <c r="P15">
        <f t="shared" si="3"/>
        <v>133.5</v>
      </c>
      <c r="AE15">
        <v>390</v>
      </c>
      <c r="AI15">
        <v>420</v>
      </c>
      <c r="AJ15" s="22"/>
    </row>
    <row r="16" spans="3:37" x14ac:dyDescent="0.45">
      <c r="C16" s="31" t="s">
        <v>19</v>
      </c>
      <c r="D16" s="23">
        <v>2.11</v>
      </c>
      <c r="E16" s="26">
        <v>8.7200000000000006</v>
      </c>
      <c r="F16" s="23" t="s">
        <v>33</v>
      </c>
      <c r="G16" s="11">
        <v>6</v>
      </c>
      <c r="H16" s="10">
        <v>5800</v>
      </c>
      <c r="I16" s="11">
        <v>19</v>
      </c>
      <c r="J16" s="10"/>
      <c r="K16" s="11">
        <v>7.4</v>
      </c>
      <c r="L16" s="18">
        <v>0.39</v>
      </c>
      <c r="M16" s="11">
        <f t="shared" si="0"/>
        <v>48.717948717948715</v>
      </c>
      <c r="N16" s="10">
        <f t="shared" si="1"/>
        <v>368903.88005849556</v>
      </c>
      <c r="O16" s="11">
        <f t="shared" si="2"/>
        <v>0.18639000000000003</v>
      </c>
      <c r="P16">
        <f t="shared" si="3"/>
        <v>28.5</v>
      </c>
      <c r="AE16">
        <v>420</v>
      </c>
      <c r="AI16">
        <v>450</v>
      </c>
      <c r="AJ16" s="22"/>
    </row>
    <row r="17" spans="3:37" x14ac:dyDescent="0.45">
      <c r="C17" s="31"/>
      <c r="D17" s="24"/>
      <c r="E17" s="27"/>
      <c r="F17" s="24"/>
      <c r="G17" s="11">
        <v>8</v>
      </c>
      <c r="H17" s="10">
        <v>6800</v>
      </c>
      <c r="I17" s="11">
        <v>27.5</v>
      </c>
      <c r="J17" s="10"/>
      <c r="K17" s="11">
        <v>7.4</v>
      </c>
      <c r="L17" s="18">
        <v>0.55000000000000004</v>
      </c>
      <c r="M17" s="11">
        <f t="shared" si="0"/>
        <v>49.999999999999993</v>
      </c>
      <c r="N17" s="10">
        <f t="shared" si="1"/>
        <v>507078.34167374647</v>
      </c>
      <c r="O17" s="11">
        <f t="shared" si="2"/>
        <v>0.26977500000000004</v>
      </c>
      <c r="P17">
        <f t="shared" si="3"/>
        <v>41.25</v>
      </c>
      <c r="AE17" s="22">
        <v>4.5</v>
      </c>
      <c r="AI17" s="22">
        <v>4.8</v>
      </c>
      <c r="AK17" s="22"/>
    </row>
    <row r="18" spans="3:37" x14ac:dyDescent="0.45">
      <c r="C18" s="31"/>
      <c r="D18" s="24"/>
      <c r="E18" s="27"/>
      <c r="F18" s="24"/>
      <c r="G18" s="11">
        <v>10</v>
      </c>
      <c r="H18" s="10">
        <v>7711</v>
      </c>
      <c r="I18" s="11">
        <v>35.9</v>
      </c>
      <c r="J18" s="10"/>
      <c r="K18" s="11">
        <v>7.4</v>
      </c>
      <c r="L18" s="18">
        <v>0.72</v>
      </c>
      <c r="M18" s="11">
        <f t="shared" si="0"/>
        <v>49.861111111111114</v>
      </c>
      <c r="N18" s="10">
        <f t="shared" si="1"/>
        <v>652046.61127584998</v>
      </c>
      <c r="O18" s="11">
        <f t="shared" si="2"/>
        <v>0.35217900000000002</v>
      </c>
      <c r="P18">
        <f t="shared" si="3"/>
        <v>53.849999999999994</v>
      </c>
      <c r="AE18">
        <v>480</v>
      </c>
    </row>
    <row r="19" spans="3:37" x14ac:dyDescent="0.45">
      <c r="C19" s="31"/>
      <c r="D19" s="24"/>
      <c r="E19" s="27"/>
      <c r="F19" s="24"/>
      <c r="G19" s="11">
        <v>12</v>
      </c>
      <c r="H19" s="10">
        <v>8450</v>
      </c>
      <c r="I19" s="11">
        <v>43.4</v>
      </c>
      <c r="J19" s="10"/>
      <c r="K19" s="11">
        <v>7.4</v>
      </c>
      <c r="L19" s="18">
        <v>0.91</v>
      </c>
      <c r="M19" s="11">
        <f t="shared" si="0"/>
        <v>47.692307692307686</v>
      </c>
      <c r="N19" s="10">
        <f t="shared" si="1"/>
        <v>783016.03138753655</v>
      </c>
      <c r="O19" s="11">
        <f t="shared" si="2"/>
        <v>0.42575400000000002</v>
      </c>
      <c r="P19">
        <f t="shared" si="3"/>
        <v>65.099999999999994</v>
      </c>
    </row>
    <row r="20" spans="3:37" x14ac:dyDescent="0.45">
      <c r="C20" s="31"/>
      <c r="D20" s="24"/>
      <c r="E20" s="27"/>
      <c r="F20" s="24"/>
      <c r="G20" s="11">
        <v>14</v>
      </c>
      <c r="H20" s="10">
        <v>9023</v>
      </c>
      <c r="I20" s="11">
        <v>49.1</v>
      </c>
      <c r="J20" s="10"/>
      <c r="K20" s="11">
        <v>7.4</v>
      </c>
      <c r="L20" s="18">
        <v>1.05</v>
      </c>
      <c r="M20" s="11">
        <f t="shared" si="0"/>
        <v>46.761904761904759</v>
      </c>
      <c r="N20" s="10">
        <f t="shared" si="1"/>
        <v>892810.21525668586</v>
      </c>
      <c r="O20" s="11">
        <f t="shared" si="2"/>
        <v>0.48167100000000007</v>
      </c>
      <c r="P20">
        <f t="shared" si="3"/>
        <v>73.649999999999991</v>
      </c>
    </row>
    <row r="21" spans="3:37" x14ac:dyDescent="0.45">
      <c r="C21" s="31"/>
      <c r="D21" s="24"/>
      <c r="E21" s="27"/>
      <c r="F21" s="24"/>
      <c r="G21" s="11">
        <v>16</v>
      </c>
      <c r="H21" s="10">
        <v>9515</v>
      </c>
      <c r="I21" s="11">
        <v>57.5</v>
      </c>
      <c r="J21" s="10"/>
      <c r="K21" s="11">
        <v>7.4</v>
      </c>
      <c r="L21" s="18">
        <v>1.26</v>
      </c>
      <c r="M21" s="11">
        <f t="shared" si="0"/>
        <v>45.634920634920633</v>
      </c>
      <c r="N21" s="10">
        <f t="shared" si="1"/>
        <v>992829.83901512797</v>
      </c>
      <c r="O21" s="11">
        <f t="shared" si="2"/>
        <v>0.56407499999999999</v>
      </c>
      <c r="P21">
        <f t="shared" si="3"/>
        <v>86.25</v>
      </c>
    </row>
    <row r="22" spans="3:37" x14ac:dyDescent="0.45">
      <c r="C22" s="31"/>
      <c r="D22" s="25"/>
      <c r="E22" s="28"/>
      <c r="F22" s="25"/>
      <c r="G22" s="11">
        <v>18</v>
      </c>
      <c r="H22" s="10">
        <v>10205</v>
      </c>
      <c r="I22" s="11">
        <v>65.099999999999994</v>
      </c>
      <c r="J22" s="10"/>
      <c r="K22" s="11">
        <v>7.4</v>
      </c>
      <c r="L22" s="18">
        <v>1.46</v>
      </c>
      <c r="M22" s="11">
        <f t="shared" si="0"/>
        <v>44.589041095890408</v>
      </c>
      <c r="N22" s="10">
        <f t="shared" si="1"/>
        <v>1142045.0980870647</v>
      </c>
      <c r="O22" s="11">
        <f t="shared" si="2"/>
        <v>0.63863099999999995</v>
      </c>
      <c r="P22">
        <f t="shared" si="3"/>
        <v>97.649999999999977</v>
      </c>
    </row>
    <row r="23" spans="3:37" x14ac:dyDescent="0.45">
      <c r="C23" s="32" t="s">
        <v>20</v>
      </c>
      <c r="D23" s="23">
        <v>1.69</v>
      </c>
      <c r="E23" s="26">
        <v>8.7200000000000006</v>
      </c>
      <c r="F23" s="23" t="s">
        <v>33</v>
      </c>
      <c r="G23" s="11">
        <v>6</v>
      </c>
      <c r="H23" s="10"/>
      <c r="I23" s="11"/>
      <c r="J23" s="10"/>
      <c r="K23" s="13"/>
      <c r="L23" s="10">
        <f t="shared" ref="L23:L57" si="4">J23*K23</f>
        <v>0</v>
      </c>
      <c r="M23" s="11" t="e">
        <f t="shared" si="0"/>
        <v>#DIV/0!</v>
      </c>
      <c r="N23" s="10">
        <f t="shared" si="1"/>
        <v>0</v>
      </c>
      <c r="O23" s="11">
        <f t="shared" si="2"/>
        <v>0</v>
      </c>
      <c r="P23">
        <f t="shared" si="3"/>
        <v>0</v>
      </c>
    </row>
    <row r="24" spans="3:37" x14ac:dyDescent="0.45">
      <c r="C24" s="32"/>
      <c r="D24" s="24"/>
      <c r="E24" s="27"/>
      <c r="F24" s="24"/>
      <c r="G24" s="11">
        <v>8</v>
      </c>
      <c r="H24" s="10"/>
      <c r="I24" s="11"/>
      <c r="J24" s="10"/>
      <c r="K24" s="13"/>
      <c r="L24" s="10">
        <f t="shared" si="4"/>
        <v>0</v>
      </c>
      <c r="M24" s="11" t="e">
        <f t="shared" si="0"/>
        <v>#DIV/0!</v>
      </c>
      <c r="N24" s="10">
        <f t="shared" si="1"/>
        <v>0</v>
      </c>
      <c r="O24" s="11">
        <f t="shared" si="2"/>
        <v>0</v>
      </c>
      <c r="P24">
        <f t="shared" si="3"/>
        <v>0</v>
      </c>
    </row>
    <row r="25" spans="3:37" x14ac:dyDescent="0.45">
      <c r="C25" s="32"/>
      <c r="D25" s="24"/>
      <c r="E25" s="27"/>
      <c r="F25" s="24"/>
      <c r="G25" s="11">
        <v>10</v>
      </c>
      <c r="H25" s="10"/>
      <c r="I25" s="11"/>
      <c r="J25" s="10"/>
      <c r="K25" s="13"/>
      <c r="L25" s="10">
        <f t="shared" si="4"/>
        <v>0</v>
      </c>
      <c r="M25" s="11" t="e">
        <f t="shared" si="0"/>
        <v>#DIV/0!</v>
      </c>
      <c r="N25" s="10">
        <f t="shared" si="1"/>
        <v>0</v>
      </c>
      <c r="O25" s="11">
        <f t="shared" si="2"/>
        <v>0</v>
      </c>
      <c r="P25">
        <f t="shared" si="3"/>
        <v>0</v>
      </c>
    </row>
    <row r="26" spans="3:37" x14ac:dyDescent="0.45">
      <c r="C26" s="32"/>
      <c r="D26" s="24"/>
      <c r="E26" s="27"/>
      <c r="F26" s="24"/>
      <c r="G26" s="11">
        <v>12</v>
      </c>
      <c r="H26" s="10"/>
      <c r="I26" s="11"/>
      <c r="J26" s="10"/>
      <c r="K26" s="13"/>
      <c r="L26" s="10">
        <f t="shared" si="4"/>
        <v>0</v>
      </c>
      <c r="M26" s="11" t="e">
        <f t="shared" si="0"/>
        <v>#DIV/0!</v>
      </c>
      <c r="N26" s="10">
        <f t="shared" si="1"/>
        <v>0</v>
      </c>
      <c r="O26" s="11">
        <f t="shared" si="2"/>
        <v>0</v>
      </c>
      <c r="P26">
        <f t="shared" si="3"/>
        <v>0</v>
      </c>
    </row>
    <row r="27" spans="3:37" x14ac:dyDescent="0.45">
      <c r="C27" s="32"/>
      <c r="D27" s="24"/>
      <c r="E27" s="27"/>
      <c r="F27" s="24"/>
      <c r="G27" s="11">
        <v>14</v>
      </c>
      <c r="H27" s="10"/>
      <c r="I27" s="11"/>
      <c r="J27" s="10"/>
      <c r="K27" s="13"/>
      <c r="L27" s="10">
        <f t="shared" si="4"/>
        <v>0</v>
      </c>
      <c r="M27" s="11" t="e">
        <f t="shared" si="0"/>
        <v>#DIV/0!</v>
      </c>
      <c r="N27" s="10">
        <f t="shared" si="1"/>
        <v>0</v>
      </c>
      <c r="O27" s="11">
        <f t="shared" si="2"/>
        <v>0</v>
      </c>
      <c r="P27">
        <f t="shared" si="3"/>
        <v>0</v>
      </c>
    </row>
    <row r="28" spans="3:37" x14ac:dyDescent="0.45">
      <c r="C28" s="32"/>
      <c r="D28" s="24"/>
      <c r="E28" s="27"/>
      <c r="F28" s="24"/>
      <c r="G28" s="11">
        <v>16</v>
      </c>
      <c r="H28" s="10"/>
      <c r="I28" s="11"/>
      <c r="J28" s="10"/>
      <c r="K28" s="13"/>
      <c r="L28" s="10">
        <f t="shared" si="4"/>
        <v>0</v>
      </c>
      <c r="M28" s="11" t="e">
        <f t="shared" si="0"/>
        <v>#DIV/0!</v>
      </c>
      <c r="N28" s="10">
        <f t="shared" si="1"/>
        <v>0</v>
      </c>
      <c r="O28" s="11">
        <f t="shared" si="2"/>
        <v>0</v>
      </c>
      <c r="P28">
        <f t="shared" si="3"/>
        <v>0</v>
      </c>
    </row>
    <row r="29" spans="3:37" x14ac:dyDescent="0.45">
      <c r="C29" s="32"/>
      <c r="D29" s="25"/>
      <c r="E29" s="28"/>
      <c r="F29" s="25"/>
      <c r="G29" s="11">
        <v>18</v>
      </c>
      <c r="H29" s="10"/>
      <c r="I29" s="11"/>
      <c r="J29" s="10"/>
      <c r="K29" s="13"/>
      <c r="L29" s="10">
        <f t="shared" si="4"/>
        <v>0</v>
      </c>
      <c r="M29" s="11" t="e">
        <f t="shared" si="0"/>
        <v>#DIV/0!</v>
      </c>
      <c r="N29" s="10">
        <f t="shared" si="1"/>
        <v>0</v>
      </c>
      <c r="O29" s="11">
        <f t="shared" si="2"/>
        <v>0</v>
      </c>
      <c r="P29">
        <f t="shared" si="3"/>
        <v>0</v>
      </c>
    </row>
    <row r="30" spans="3:37" x14ac:dyDescent="0.45">
      <c r="C30" s="29" t="s">
        <v>17</v>
      </c>
      <c r="D30" s="23">
        <v>2.73</v>
      </c>
      <c r="E30" s="26">
        <v>15</v>
      </c>
      <c r="F30" s="23" t="s">
        <v>68</v>
      </c>
      <c r="G30" s="11">
        <v>6</v>
      </c>
      <c r="H30" s="10">
        <v>9029</v>
      </c>
      <c r="I30" s="11">
        <v>55.3</v>
      </c>
      <c r="J30" s="10">
        <v>7.4</v>
      </c>
      <c r="K30" s="13">
        <v>1.6</v>
      </c>
      <c r="L30" s="10">
        <f t="shared" si="4"/>
        <v>11.840000000000002</v>
      </c>
      <c r="M30" s="11">
        <f t="shared" si="0"/>
        <v>4.670608108108107</v>
      </c>
      <c r="N30" s="10">
        <f t="shared" si="1"/>
        <v>893997.98924767529</v>
      </c>
      <c r="O30" s="11">
        <f t="shared" si="2"/>
        <v>0.542493</v>
      </c>
      <c r="P30">
        <f t="shared" si="3"/>
        <v>82.949999999999989</v>
      </c>
    </row>
    <row r="31" spans="3:37" x14ac:dyDescent="0.45">
      <c r="C31" s="29"/>
      <c r="D31" s="24"/>
      <c r="E31" s="27"/>
      <c r="F31" s="24"/>
      <c r="G31" s="11">
        <v>8</v>
      </c>
      <c r="H31" s="10">
        <v>10492</v>
      </c>
      <c r="I31" s="11">
        <v>76</v>
      </c>
      <c r="J31" s="10">
        <v>7.4</v>
      </c>
      <c r="K31" s="13">
        <v>2.27</v>
      </c>
      <c r="L31" s="10">
        <f t="shared" si="4"/>
        <v>16.798000000000002</v>
      </c>
      <c r="M31" s="11">
        <f t="shared" si="0"/>
        <v>4.5243481366829377</v>
      </c>
      <c r="N31" s="10">
        <f t="shared" si="1"/>
        <v>1207184.9148171116</v>
      </c>
      <c r="O31" s="11">
        <f t="shared" si="2"/>
        <v>0.74556000000000011</v>
      </c>
      <c r="P31">
        <f t="shared" si="3"/>
        <v>114</v>
      </c>
    </row>
    <row r="32" spans="3:37" x14ac:dyDescent="0.45">
      <c r="C32" s="29"/>
      <c r="D32" s="24"/>
      <c r="E32" s="27"/>
      <c r="F32" s="24"/>
      <c r="G32" s="11">
        <v>10</v>
      </c>
      <c r="H32" s="10">
        <v>11617</v>
      </c>
      <c r="I32" s="11">
        <v>95.8</v>
      </c>
      <c r="J32" s="10">
        <v>7.4</v>
      </c>
      <c r="K32" s="13">
        <v>2.93</v>
      </c>
      <c r="L32" s="10">
        <f t="shared" si="4"/>
        <v>21.682000000000002</v>
      </c>
      <c r="M32" s="11">
        <f t="shared" si="0"/>
        <v>4.41841158564708</v>
      </c>
      <c r="N32" s="10">
        <f t="shared" si="1"/>
        <v>1479943.7694467171</v>
      </c>
      <c r="O32" s="11">
        <f t="shared" si="2"/>
        <v>0.93979800000000002</v>
      </c>
      <c r="P32">
        <f t="shared" si="3"/>
        <v>143.69999999999999</v>
      </c>
    </row>
    <row r="33" spans="3:16" x14ac:dyDescent="0.45">
      <c r="C33" s="29"/>
      <c r="D33" s="24"/>
      <c r="E33" s="27"/>
      <c r="F33" s="24"/>
      <c r="G33" s="11">
        <v>12</v>
      </c>
      <c r="H33" s="10">
        <v>12700</v>
      </c>
      <c r="I33" s="11">
        <v>113</v>
      </c>
      <c r="J33" s="10">
        <v>7.4</v>
      </c>
      <c r="K33" s="13">
        <v>3.46</v>
      </c>
      <c r="L33" s="10">
        <f t="shared" si="4"/>
        <v>25.603999999999999</v>
      </c>
      <c r="M33" s="11">
        <f t="shared" si="0"/>
        <v>4.4133729104827371</v>
      </c>
      <c r="N33" s="10">
        <f t="shared" si="1"/>
        <v>1768742.770946336</v>
      </c>
      <c r="O33" s="11">
        <f t="shared" si="2"/>
        <v>1.10853</v>
      </c>
      <c r="P33">
        <f t="shared" si="3"/>
        <v>169.49999999999997</v>
      </c>
    </row>
    <row r="34" spans="3:16" x14ac:dyDescent="0.45">
      <c r="C34" s="29"/>
      <c r="D34" s="24"/>
      <c r="E34" s="27"/>
      <c r="F34" s="24"/>
      <c r="G34" s="11">
        <v>14</v>
      </c>
      <c r="H34" s="10">
        <v>13293</v>
      </c>
      <c r="I34" s="11">
        <v>121.7</v>
      </c>
      <c r="J34" s="10">
        <v>7.4</v>
      </c>
      <c r="K34" s="13">
        <v>4</v>
      </c>
      <c r="L34" s="10">
        <f t="shared" si="4"/>
        <v>29.6</v>
      </c>
      <c r="M34" s="11">
        <f t="shared" si="0"/>
        <v>4.111486486486486</v>
      </c>
      <c r="N34" s="10">
        <f t="shared" si="1"/>
        <v>1937774.5397553658</v>
      </c>
      <c r="O34" s="11">
        <f t="shared" si="2"/>
        <v>1.1938770000000001</v>
      </c>
      <c r="P34">
        <f t="shared" si="3"/>
        <v>182.54999999999998</v>
      </c>
    </row>
    <row r="35" spans="3:16" x14ac:dyDescent="0.45">
      <c r="C35" s="29"/>
      <c r="D35" s="24"/>
      <c r="E35" s="27"/>
      <c r="F35" s="24"/>
      <c r="G35" s="11">
        <v>16</v>
      </c>
      <c r="H35" s="10">
        <v>14157</v>
      </c>
      <c r="I35" s="11">
        <v>137.69999999999999</v>
      </c>
      <c r="J35" s="10">
        <v>7.4</v>
      </c>
      <c r="K35" s="13">
        <v>4.58</v>
      </c>
      <c r="L35" s="10">
        <f t="shared" si="4"/>
        <v>33.892000000000003</v>
      </c>
      <c r="M35" s="11">
        <f t="shared" si="0"/>
        <v>4.0629057004602851</v>
      </c>
      <c r="N35" s="10">
        <f t="shared" si="1"/>
        <v>2197858.3549328726</v>
      </c>
      <c r="O35" s="11">
        <f t="shared" si="2"/>
        <v>1.3508370000000001</v>
      </c>
      <c r="P35">
        <f t="shared" si="3"/>
        <v>206.54999999999995</v>
      </c>
    </row>
    <row r="36" spans="3:16" x14ac:dyDescent="0.45">
      <c r="C36" s="29"/>
      <c r="D36" s="25"/>
      <c r="E36" s="28"/>
      <c r="F36" s="25"/>
      <c r="G36" s="11">
        <v>18</v>
      </c>
      <c r="H36" s="10">
        <v>15034</v>
      </c>
      <c r="I36" s="11">
        <v>150</v>
      </c>
      <c r="J36" s="10">
        <v>7.4</v>
      </c>
      <c r="K36" s="13">
        <v>5.26</v>
      </c>
      <c r="L36" s="10">
        <f t="shared" si="4"/>
        <v>38.923999999999999</v>
      </c>
      <c r="M36" s="11">
        <f t="shared" si="0"/>
        <v>3.8536635494810398</v>
      </c>
      <c r="N36" s="10">
        <f t="shared" si="1"/>
        <v>2478599.3288854496</v>
      </c>
      <c r="O36" s="11">
        <f t="shared" si="2"/>
        <v>1.4715</v>
      </c>
      <c r="P36">
        <f t="shared" si="3"/>
        <v>225</v>
      </c>
    </row>
    <row r="37" spans="3:16" x14ac:dyDescent="0.45">
      <c r="C37" s="30" t="s">
        <v>18</v>
      </c>
      <c r="D37" s="23">
        <v>2.36</v>
      </c>
      <c r="E37" s="26">
        <v>15</v>
      </c>
      <c r="F37" s="23" t="s">
        <v>68</v>
      </c>
      <c r="G37" s="11">
        <v>6</v>
      </c>
      <c r="H37" s="10">
        <v>10077</v>
      </c>
      <c r="I37" s="11">
        <v>55.2</v>
      </c>
      <c r="J37" s="10">
        <v>7.4</v>
      </c>
      <c r="K37" s="13">
        <v>1.56</v>
      </c>
      <c r="L37" s="10">
        <f t="shared" si="4"/>
        <v>11.544</v>
      </c>
      <c r="M37" s="11">
        <f t="shared" si="0"/>
        <v>4.7817047817047822</v>
      </c>
      <c r="N37" s="10">
        <f t="shared" si="1"/>
        <v>1113575.7197456751</v>
      </c>
      <c r="O37" s="11">
        <f t="shared" si="2"/>
        <v>0.5415120000000001</v>
      </c>
      <c r="P37">
        <f t="shared" si="3"/>
        <v>82.8</v>
      </c>
    </row>
    <row r="38" spans="3:16" x14ac:dyDescent="0.45">
      <c r="C38" s="30"/>
      <c r="D38" s="24"/>
      <c r="E38" s="27"/>
      <c r="F38" s="24"/>
      <c r="G38" s="11">
        <v>8</v>
      </c>
      <c r="H38" s="10">
        <v>11550</v>
      </c>
      <c r="I38" s="11">
        <v>73.2</v>
      </c>
      <c r="J38" s="10">
        <v>7.4</v>
      </c>
      <c r="K38" s="13">
        <v>2.16</v>
      </c>
      <c r="L38" s="10">
        <f t="shared" si="4"/>
        <v>15.984000000000002</v>
      </c>
      <c r="M38" s="11">
        <f t="shared" si="0"/>
        <v>4.5795795795795788</v>
      </c>
      <c r="N38" s="10">
        <f t="shared" si="1"/>
        <v>1462922.1123514704</v>
      </c>
      <c r="O38" s="11">
        <f t="shared" si="2"/>
        <v>0.71809200000000006</v>
      </c>
      <c r="P38">
        <f t="shared" si="3"/>
        <v>109.8</v>
      </c>
    </row>
    <row r="39" spans="3:16" x14ac:dyDescent="0.45">
      <c r="C39" s="30"/>
      <c r="D39" s="24"/>
      <c r="E39" s="27"/>
      <c r="F39" s="24"/>
      <c r="G39" s="11">
        <v>10</v>
      </c>
      <c r="H39" s="10">
        <v>12566</v>
      </c>
      <c r="I39" s="11">
        <v>89.3</v>
      </c>
      <c r="J39" s="10">
        <v>7.4</v>
      </c>
      <c r="K39" s="13">
        <v>2.7</v>
      </c>
      <c r="L39" s="10">
        <f t="shared" si="4"/>
        <v>19.980000000000004</v>
      </c>
      <c r="M39" s="11">
        <f t="shared" si="0"/>
        <v>4.4694694694694688</v>
      </c>
      <c r="N39" s="10">
        <f t="shared" si="1"/>
        <v>1731615.0299208679</v>
      </c>
      <c r="O39" s="11">
        <f t="shared" si="2"/>
        <v>0.87603300000000006</v>
      </c>
      <c r="P39">
        <f t="shared" si="3"/>
        <v>133.94999999999999</v>
      </c>
    </row>
    <row r="40" spans="3:16" x14ac:dyDescent="0.45">
      <c r="C40" s="30"/>
      <c r="D40" s="24"/>
      <c r="E40" s="27"/>
      <c r="F40" s="24"/>
      <c r="G40" s="11">
        <v>12</v>
      </c>
      <c r="H40" s="10">
        <v>13716</v>
      </c>
      <c r="I40" s="11">
        <v>106.2</v>
      </c>
      <c r="J40" s="10">
        <v>7.4</v>
      </c>
      <c r="K40" s="13">
        <v>3.28</v>
      </c>
      <c r="L40" s="10">
        <f t="shared" si="4"/>
        <v>24.271999999999998</v>
      </c>
      <c r="M40" s="11">
        <f t="shared" si="0"/>
        <v>4.3754119973632175</v>
      </c>
      <c r="N40" s="10">
        <f t="shared" si="1"/>
        <v>2063061.5680318065</v>
      </c>
      <c r="O40" s="11">
        <f t="shared" si="2"/>
        <v>1.041822</v>
      </c>
      <c r="P40">
        <f t="shared" si="3"/>
        <v>159.29999999999998</v>
      </c>
    </row>
    <row r="41" spans="3:16" x14ac:dyDescent="0.45">
      <c r="C41" s="30"/>
      <c r="D41" s="24"/>
      <c r="E41" s="27"/>
      <c r="F41" s="24"/>
      <c r="G41" s="11">
        <v>14</v>
      </c>
      <c r="H41" s="10">
        <v>14079</v>
      </c>
      <c r="I41" s="11">
        <v>113.5</v>
      </c>
      <c r="J41" s="10">
        <v>7.4</v>
      </c>
      <c r="K41" s="13">
        <v>3.52</v>
      </c>
      <c r="L41" s="10">
        <f t="shared" si="4"/>
        <v>26.048000000000002</v>
      </c>
      <c r="M41" s="11">
        <f t="shared" si="0"/>
        <v>4.3573402948402942</v>
      </c>
      <c r="N41" s="10">
        <f t="shared" si="1"/>
        <v>2173706.2486108793</v>
      </c>
      <c r="O41" s="11">
        <f t="shared" si="2"/>
        <v>1.113435</v>
      </c>
      <c r="P41">
        <f t="shared" si="3"/>
        <v>170.24999999999997</v>
      </c>
    </row>
    <row r="42" spans="3:16" x14ac:dyDescent="0.45">
      <c r="C42" s="30"/>
      <c r="D42" s="24"/>
      <c r="E42" s="27"/>
      <c r="F42" s="24"/>
      <c r="G42" s="11">
        <v>16</v>
      </c>
      <c r="H42" s="10">
        <v>15109</v>
      </c>
      <c r="I42" s="11">
        <v>129</v>
      </c>
      <c r="J42" s="10">
        <v>7.4</v>
      </c>
      <c r="K42" s="13">
        <v>4.2</v>
      </c>
      <c r="L42" s="10">
        <f t="shared" si="4"/>
        <v>31.080000000000002</v>
      </c>
      <c r="M42" s="11">
        <f t="shared" si="0"/>
        <v>4.1505791505791505</v>
      </c>
      <c r="N42" s="10">
        <f t="shared" si="1"/>
        <v>2503390.9526739521</v>
      </c>
      <c r="O42" s="11">
        <f t="shared" si="2"/>
        <v>1.26549</v>
      </c>
      <c r="P42">
        <f t="shared" si="3"/>
        <v>193.49999999999997</v>
      </c>
    </row>
    <row r="43" spans="3:16" x14ac:dyDescent="0.45">
      <c r="C43" s="30"/>
      <c r="D43" s="25"/>
      <c r="E43" s="28"/>
      <c r="F43" s="25"/>
      <c r="G43" s="11">
        <v>18</v>
      </c>
      <c r="H43" s="10">
        <v>15848</v>
      </c>
      <c r="I43" s="11">
        <v>144.80000000000001</v>
      </c>
      <c r="J43" s="10">
        <v>7.4</v>
      </c>
      <c r="K43" s="13">
        <v>4.75</v>
      </c>
      <c r="L43" s="10">
        <f t="shared" si="4"/>
        <v>35.15</v>
      </c>
      <c r="M43" s="11">
        <f t="shared" si="0"/>
        <v>4.1194879089615934</v>
      </c>
      <c r="N43" s="10">
        <f t="shared" si="1"/>
        <v>2754267.7757911775</v>
      </c>
      <c r="O43" s="11">
        <f t="shared" si="2"/>
        <v>1.4204880000000002</v>
      </c>
      <c r="P43">
        <f t="shared" si="3"/>
        <v>217.2</v>
      </c>
    </row>
    <row r="44" spans="3:16" x14ac:dyDescent="0.45">
      <c r="C44" s="31" t="s">
        <v>22</v>
      </c>
      <c r="D44" s="23">
        <v>2.11</v>
      </c>
      <c r="E44" s="26">
        <v>15</v>
      </c>
      <c r="F44" s="23" t="s">
        <v>68</v>
      </c>
      <c r="G44" s="11">
        <v>6</v>
      </c>
      <c r="H44" s="10">
        <v>9517</v>
      </c>
      <c r="I44" s="11">
        <v>55.8</v>
      </c>
      <c r="J44" s="10">
        <v>7.4</v>
      </c>
      <c r="K44" s="13">
        <v>1.54</v>
      </c>
      <c r="L44" s="10">
        <f t="shared" si="4"/>
        <v>11.396000000000001</v>
      </c>
      <c r="M44" s="11">
        <f t="shared" si="0"/>
        <v>4.8964548964548955</v>
      </c>
      <c r="N44" s="10">
        <f t="shared" si="1"/>
        <v>993247.25748393137</v>
      </c>
      <c r="O44" s="11">
        <f t="shared" si="2"/>
        <v>0.54739800000000005</v>
      </c>
      <c r="P44">
        <f t="shared" si="3"/>
        <v>83.699999999999989</v>
      </c>
    </row>
    <row r="45" spans="3:16" x14ac:dyDescent="0.45">
      <c r="C45" s="31"/>
      <c r="D45" s="24"/>
      <c r="E45" s="27"/>
      <c r="F45" s="24"/>
      <c r="G45" s="11">
        <v>8</v>
      </c>
      <c r="H45" s="10">
        <v>11193</v>
      </c>
      <c r="I45" s="11">
        <v>74</v>
      </c>
      <c r="J45" s="10">
        <v>7.4</v>
      </c>
      <c r="K45" s="13">
        <v>2.17</v>
      </c>
      <c r="L45" s="10">
        <f t="shared" si="4"/>
        <v>16.058</v>
      </c>
      <c r="M45" s="11">
        <f t="shared" si="0"/>
        <v>4.6082949308755765</v>
      </c>
      <c r="N45" s="10">
        <f t="shared" si="1"/>
        <v>1373884.5619035265</v>
      </c>
      <c r="O45" s="11">
        <f t="shared" si="2"/>
        <v>0.72594000000000003</v>
      </c>
      <c r="P45">
        <f t="shared" si="3"/>
        <v>110.99999999999999</v>
      </c>
    </row>
    <row r="46" spans="3:16" x14ac:dyDescent="0.45">
      <c r="C46" s="31"/>
      <c r="D46" s="24"/>
      <c r="E46" s="27"/>
      <c r="F46" s="24"/>
      <c r="G46" s="11">
        <v>10</v>
      </c>
      <c r="H46" s="10">
        <v>12331</v>
      </c>
      <c r="I46" s="11">
        <v>93.4</v>
      </c>
      <c r="J46" s="10">
        <v>7.4</v>
      </c>
      <c r="K46" s="13">
        <v>2.82</v>
      </c>
      <c r="L46" s="10">
        <f t="shared" si="4"/>
        <v>20.867999999999999</v>
      </c>
      <c r="M46" s="11">
        <f t="shared" si="0"/>
        <v>4.4757523480927741</v>
      </c>
      <c r="N46" s="10">
        <f t="shared" si="1"/>
        <v>1667453.8831632321</v>
      </c>
      <c r="O46" s="11">
        <f t="shared" si="2"/>
        <v>0.91625400000000012</v>
      </c>
      <c r="P46">
        <f t="shared" si="3"/>
        <v>140.1</v>
      </c>
    </row>
    <row r="47" spans="3:16" x14ac:dyDescent="0.45">
      <c r="C47" s="31"/>
      <c r="D47" s="24"/>
      <c r="E47" s="27"/>
      <c r="F47" s="24"/>
      <c r="G47" s="11">
        <v>12</v>
      </c>
      <c r="H47" s="10">
        <v>13557</v>
      </c>
      <c r="I47" s="11">
        <v>108.5</v>
      </c>
      <c r="J47" s="10">
        <v>7.4</v>
      </c>
      <c r="K47" s="13">
        <v>3.37</v>
      </c>
      <c r="L47" s="10">
        <f t="shared" si="4"/>
        <v>24.938000000000002</v>
      </c>
      <c r="M47" s="11">
        <f t="shared" si="0"/>
        <v>4.3507899590985639</v>
      </c>
      <c r="N47" s="10">
        <f t="shared" si="1"/>
        <v>2015507.5440183457</v>
      </c>
      <c r="O47" s="11">
        <f t="shared" si="2"/>
        <v>1.0643849999999999</v>
      </c>
      <c r="P47">
        <f t="shared" si="3"/>
        <v>162.74999999999997</v>
      </c>
    </row>
    <row r="48" spans="3:16" x14ac:dyDescent="0.45">
      <c r="C48" s="31"/>
      <c r="D48" s="24"/>
      <c r="E48" s="27"/>
      <c r="F48" s="24"/>
      <c r="G48" s="11">
        <v>14</v>
      </c>
      <c r="H48" s="10">
        <v>13970</v>
      </c>
      <c r="I48" s="11">
        <v>117.5</v>
      </c>
      <c r="J48" s="10">
        <v>7.4</v>
      </c>
      <c r="K48" s="13">
        <v>3.77</v>
      </c>
      <c r="L48" s="10">
        <f t="shared" si="4"/>
        <v>27.898000000000003</v>
      </c>
      <c r="M48" s="11">
        <f t="shared" si="0"/>
        <v>4.2117714531507628</v>
      </c>
      <c r="N48" s="10">
        <f t="shared" si="1"/>
        <v>2140178.7528450666</v>
      </c>
      <c r="O48" s="11">
        <f t="shared" si="2"/>
        <v>1.1526749999999999</v>
      </c>
      <c r="P48">
        <f t="shared" si="3"/>
        <v>176.25</v>
      </c>
    </row>
    <row r="49" spans="3:16" x14ac:dyDescent="0.45">
      <c r="C49" s="31"/>
      <c r="D49" s="24"/>
      <c r="E49" s="27"/>
      <c r="F49" s="24"/>
      <c r="G49" s="11">
        <v>16</v>
      </c>
      <c r="H49" s="10">
        <v>14854</v>
      </c>
      <c r="I49" s="11">
        <v>131.1</v>
      </c>
      <c r="J49" s="10">
        <v>7.4</v>
      </c>
      <c r="K49" s="13">
        <v>4.3</v>
      </c>
      <c r="L49" s="10">
        <f t="shared" si="4"/>
        <v>31.82</v>
      </c>
      <c r="M49" s="11">
        <f t="shared" si="0"/>
        <v>4.12005028284098</v>
      </c>
      <c r="N49" s="10">
        <f t="shared" si="1"/>
        <v>2419602.7816174971</v>
      </c>
      <c r="O49" s="11">
        <f t="shared" si="2"/>
        <v>1.2860910000000001</v>
      </c>
      <c r="P49">
        <f t="shared" si="3"/>
        <v>196.64999999999998</v>
      </c>
    </row>
    <row r="50" spans="3:16" x14ac:dyDescent="0.45">
      <c r="C50" s="31"/>
      <c r="D50" s="25"/>
      <c r="E50" s="28"/>
      <c r="F50" s="25"/>
      <c r="G50" s="11">
        <v>18</v>
      </c>
      <c r="H50" s="10">
        <v>15642</v>
      </c>
      <c r="I50" s="11">
        <v>148.5</v>
      </c>
      <c r="J50" s="10">
        <v>7.4</v>
      </c>
      <c r="K50" s="13">
        <v>4.92</v>
      </c>
      <c r="L50" s="10">
        <f t="shared" si="4"/>
        <v>36.408000000000001</v>
      </c>
      <c r="M50" s="11">
        <f t="shared" si="0"/>
        <v>4.0787738958470667</v>
      </c>
      <c r="N50" s="10">
        <f t="shared" si="1"/>
        <v>2683130.5184871745</v>
      </c>
      <c r="O50" s="11">
        <f t="shared" si="2"/>
        <v>1.456785</v>
      </c>
      <c r="P50">
        <f t="shared" si="3"/>
        <v>222.74999999999997</v>
      </c>
    </row>
    <row r="51" spans="3:16" x14ac:dyDescent="0.45">
      <c r="C51" s="32" t="s">
        <v>20</v>
      </c>
      <c r="D51" s="23">
        <v>1.69</v>
      </c>
      <c r="E51" s="26">
        <v>15</v>
      </c>
      <c r="F51" s="23" t="s">
        <v>68</v>
      </c>
      <c r="G51" s="11">
        <v>6</v>
      </c>
      <c r="H51" s="10"/>
      <c r="I51" s="11"/>
      <c r="J51" s="10"/>
      <c r="K51" s="13"/>
      <c r="L51" s="10">
        <f t="shared" si="4"/>
        <v>0</v>
      </c>
      <c r="M51" s="11" t="e">
        <f t="shared" si="0"/>
        <v>#DIV/0!</v>
      </c>
      <c r="N51" s="10">
        <f t="shared" si="1"/>
        <v>0</v>
      </c>
      <c r="O51" s="11">
        <f t="shared" si="2"/>
        <v>0</v>
      </c>
      <c r="P51">
        <f t="shared" si="3"/>
        <v>0</v>
      </c>
    </row>
    <row r="52" spans="3:16" x14ac:dyDescent="0.45">
      <c r="C52" s="32"/>
      <c r="D52" s="24"/>
      <c r="E52" s="27"/>
      <c r="F52" s="24"/>
      <c r="G52" s="11">
        <v>8</v>
      </c>
      <c r="H52" s="10"/>
      <c r="I52" s="11"/>
      <c r="J52" s="10"/>
      <c r="K52" s="13"/>
      <c r="L52" s="10">
        <f t="shared" si="4"/>
        <v>0</v>
      </c>
      <c r="M52" s="11" t="e">
        <f t="shared" si="0"/>
        <v>#DIV/0!</v>
      </c>
      <c r="N52" s="10">
        <f t="shared" si="1"/>
        <v>0</v>
      </c>
      <c r="O52" s="11">
        <f t="shared" si="2"/>
        <v>0</v>
      </c>
      <c r="P52">
        <f t="shared" si="3"/>
        <v>0</v>
      </c>
    </row>
    <row r="53" spans="3:16" x14ac:dyDescent="0.45">
      <c r="C53" s="32"/>
      <c r="D53" s="24"/>
      <c r="E53" s="27"/>
      <c r="F53" s="24"/>
      <c r="G53" s="11">
        <v>10</v>
      </c>
      <c r="H53" s="10"/>
      <c r="I53" s="11"/>
      <c r="J53" s="10"/>
      <c r="K53" s="13"/>
      <c r="L53" s="10">
        <f t="shared" si="4"/>
        <v>0</v>
      </c>
      <c r="M53" s="11" t="e">
        <f t="shared" si="0"/>
        <v>#DIV/0!</v>
      </c>
      <c r="N53" s="10">
        <f t="shared" si="1"/>
        <v>0</v>
      </c>
      <c r="O53" s="11">
        <f t="shared" si="2"/>
        <v>0</v>
      </c>
      <c r="P53">
        <f t="shared" si="3"/>
        <v>0</v>
      </c>
    </row>
    <row r="54" spans="3:16" x14ac:dyDescent="0.45">
      <c r="C54" s="32"/>
      <c r="D54" s="24"/>
      <c r="E54" s="27"/>
      <c r="F54" s="24"/>
      <c r="G54" s="11">
        <v>12</v>
      </c>
      <c r="H54" s="10"/>
      <c r="I54" s="11"/>
      <c r="J54" s="10"/>
      <c r="K54" s="13"/>
      <c r="L54" s="10">
        <f t="shared" si="4"/>
        <v>0</v>
      </c>
      <c r="M54" s="11" t="e">
        <f t="shared" si="0"/>
        <v>#DIV/0!</v>
      </c>
      <c r="N54" s="10">
        <f t="shared" si="1"/>
        <v>0</v>
      </c>
      <c r="O54" s="11">
        <f t="shared" si="2"/>
        <v>0</v>
      </c>
      <c r="P54">
        <f t="shared" si="3"/>
        <v>0</v>
      </c>
    </row>
    <row r="55" spans="3:16" x14ac:dyDescent="0.45">
      <c r="C55" s="32"/>
      <c r="D55" s="24"/>
      <c r="E55" s="27"/>
      <c r="F55" s="24"/>
      <c r="G55" s="11">
        <v>14</v>
      </c>
      <c r="H55" s="10"/>
      <c r="I55" s="11"/>
      <c r="J55" s="10"/>
      <c r="K55" s="13"/>
      <c r="L55" s="10">
        <f t="shared" si="4"/>
        <v>0</v>
      </c>
      <c r="M55" s="11" t="e">
        <f t="shared" si="0"/>
        <v>#DIV/0!</v>
      </c>
      <c r="N55" s="10">
        <f t="shared" si="1"/>
        <v>0</v>
      </c>
      <c r="O55" s="11">
        <f t="shared" si="2"/>
        <v>0</v>
      </c>
      <c r="P55">
        <f t="shared" si="3"/>
        <v>0</v>
      </c>
    </row>
    <row r="56" spans="3:16" x14ac:dyDescent="0.45">
      <c r="C56" s="32"/>
      <c r="D56" s="24"/>
      <c r="E56" s="27"/>
      <c r="F56" s="24"/>
      <c r="G56" s="11">
        <v>16</v>
      </c>
      <c r="H56" s="10"/>
      <c r="I56" s="11"/>
      <c r="J56" s="10"/>
      <c r="K56" s="13"/>
      <c r="L56" s="10">
        <f t="shared" si="4"/>
        <v>0</v>
      </c>
      <c r="M56" s="11" t="e">
        <f t="shared" si="0"/>
        <v>#DIV/0!</v>
      </c>
      <c r="N56" s="10">
        <f t="shared" si="1"/>
        <v>0</v>
      </c>
      <c r="O56" s="11">
        <f t="shared" si="2"/>
        <v>0</v>
      </c>
      <c r="P56">
        <f t="shared" si="3"/>
        <v>0</v>
      </c>
    </row>
    <row r="57" spans="3:16" x14ac:dyDescent="0.45">
      <c r="C57" s="32"/>
      <c r="D57" s="25"/>
      <c r="E57" s="28"/>
      <c r="F57" s="25"/>
      <c r="G57" s="11">
        <v>18</v>
      </c>
      <c r="H57" s="10"/>
      <c r="I57" s="11"/>
      <c r="J57" s="10"/>
      <c r="K57" s="13"/>
      <c r="L57" s="10">
        <f t="shared" si="4"/>
        <v>0</v>
      </c>
      <c r="M57" s="11" t="e">
        <f t="shared" si="0"/>
        <v>#DIV/0!</v>
      </c>
      <c r="N57" s="10">
        <f t="shared" si="1"/>
        <v>0</v>
      </c>
      <c r="O57" s="11">
        <f t="shared" si="2"/>
        <v>0</v>
      </c>
      <c r="P57">
        <f t="shared" si="3"/>
        <v>0</v>
      </c>
    </row>
    <row r="58" spans="3:16" x14ac:dyDescent="0.45">
      <c r="C58" s="33" t="s">
        <v>34</v>
      </c>
      <c r="D58" s="23">
        <v>1.52</v>
      </c>
      <c r="E58" s="26">
        <v>8.7200000000000006</v>
      </c>
      <c r="F58" s="23" t="s">
        <v>33</v>
      </c>
      <c r="G58" s="11">
        <v>6</v>
      </c>
      <c r="H58" s="10">
        <v>9123</v>
      </c>
      <c r="I58" s="11">
        <v>24.2</v>
      </c>
      <c r="J58" s="10">
        <v>7.4</v>
      </c>
      <c r="K58" s="13">
        <v>0.73</v>
      </c>
      <c r="L58" s="10">
        <f t="shared" ref="L58:L63" si="5">J58*K58</f>
        <v>5.4020000000000001</v>
      </c>
      <c r="M58" s="11">
        <f t="shared" ref="M58:M64" si="6">I58/L58</f>
        <v>4.4798222880414658</v>
      </c>
      <c r="N58" s="10">
        <f t="shared" ref="N58:N64" si="7">(H58*PI()/30)^2</f>
        <v>912709.53097470442</v>
      </c>
      <c r="O58" s="11">
        <f t="shared" ref="O58:O64" si="8">I58*9.81/1000</f>
        <v>0.237402</v>
      </c>
      <c r="P58">
        <f t="shared" si="3"/>
        <v>36.299999999999997</v>
      </c>
    </row>
    <row r="59" spans="3:16" x14ac:dyDescent="0.45">
      <c r="C59" s="33"/>
      <c r="D59" s="24"/>
      <c r="E59" s="27"/>
      <c r="F59" s="24"/>
      <c r="G59" s="11">
        <v>8</v>
      </c>
      <c r="H59" s="10">
        <v>10636</v>
      </c>
      <c r="I59" s="11">
        <v>34.200000000000003</v>
      </c>
      <c r="J59" s="10">
        <v>7.4</v>
      </c>
      <c r="K59" s="13">
        <v>0.97</v>
      </c>
      <c r="L59" s="10">
        <f t="shared" si="5"/>
        <v>7.1779999999999999</v>
      </c>
      <c r="M59" s="11">
        <f t="shared" si="6"/>
        <v>4.7645583728057961</v>
      </c>
      <c r="N59" s="10">
        <f t="shared" si="7"/>
        <v>1240548.9151029063</v>
      </c>
      <c r="O59" s="11">
        <f t="shared" si="8"/>
        <v>0.33550200000000008</v>
      </c>
      <c r="P59">
        <f t="shared" si="3"/>
        <v>51.3</v>
      </c>
    </row>
    <row r="60" spans="3:16" x14ac:dyDescent="0.45">
      <c r="C60" s="33"/>
      <c r="D60" s="24"/>
      <c r="E60" s="27"/>
      <c r="F60" s="24"/>
      <c r="G60" s="11">
        <v>10</v>
      </c>
      <c r="H60" s="10">
        <v>11614</v>
      </c>
      <c r="I60" s="11">
        <v>42.3</v>
      </c>
      <c r="J60" s="10">
        <v>7.4</v>
      </c>
      <c r="K60" s="13">
        <v>1.18</v>
      </c>
      <c r="L60" s="10">
        <f t="shared" si="5"/>
        <v>8.7319999999999993</v>
      </c>
      <c r="M60" s="11">
        <f t="shared" si="6"/>
        <v>4.8442510306917086</v>
      </c>
      <c r="N60" s="10">
        <f t="shared" si="7"/>
        <v>1479179.5001805781</v>
      </c>
      <c r="O60" s="11">
        <f t="shared" si="8"/>
        <v>0.41496299999999997</v>
      </c>
      <c r="P60">
        <f t="shared" si="3"/>
        <v>63.449999999999996</v>
      </c>
    </row>
    <row r="61" spans="3:16" x14ac:dyDescent="0.45">
      <c r="C61" s="33"/>
      <c r="D61" s="24"/>
      <c r="E61" s="27"/>
      <c r="F61" s="24"/>
      <c r="G61" s="11">
        <v>12</v>
      </c>
      <c r="H61" s="10">
        <v>12549</v>
      </c>
      <c r="I61" s="11">
        <v>51</v>
      </c>
      <c r="J61" s="10">
        <v>7.4</v>
      </c>
      <c r="K61" s="13">
        <v>1.4</v>
      </c>
      <c r="L61" s="10">
        <f t="shared" si="5"/>
        <v>10.36</v>
      </c>
      <c r="M61" s="11">
        <f t="shared" si="6"/>
        <v>4.9227799227799229</v>
      </c>
      <c r="N61" s="10">
        <f t="shared" si="7"/>
        <v>1726932.9444241265</v>
      </c>
      <c r="O61" s="11">
        <f t="shared" si="8"/>
        <v>0.50031000000000003</v>
      </c>
      <c r="P61">
        <f t="shared" si="3"/>
        <v>76.5</v>
      </c>
    </row>
    <row r="62" spans="3:16" x14ac:dyDescent="0.45">
      <c r="C62" s="33"/>
      <c r="D62" s="24"/>
      <c r="E62" s="27"/>
      <c r="F62" s="24"/>
      <c r="G62" s="11">
        <v>14</v>
      </c>
      <c r="H62" s="10">
        <v>13476</v>
      </c>
      <c r="I62" s="11">
        <v>59.3</v>
      </c>
      <c r="J62" s="10">
        <v>7.4</v>
      </c>
      <c r="K62" s="13">
        <v>1.66</v>
      </c>
      <c r="L62" s="10">
        <f t="shared" si="5"/>
        <v>12.284000000000001</v>
      </c>
      <c r="M62" s="11">
        <f t="shared" si="6"/>
        <v>4.8274177792250077</v>
      </c>
      <c r="N62" s="10">
        <f t="shared" si="7"/>
        <v>1991495.0925986276</v>
      </c>
      <c r="O62" s="11">
        <f t="shared" si="8"/>
        <v>0.58173299999999994</v>
      </c>
      <c r="P62">
        <f t="shared" si="3"/>
        <v>88.949999999999989</v>
      </c>
    </row>
    <row r="63" spans="3:16" x14ac:dyDescent="0.45">
      <c r="C63" s="33"/>
      <c r="D63" s="24"/>
      <c r="E63" s="27"/>
      <c r="F63" s="24"/>
      <c r="G63" s="11">
        <v>16</v>
      </c>
      <c r="H63" s="10">
        <v>14057</v>
      </c>
      <c r="I63" s="11">
        <v>65.5</v>
      </c>
      <c r="J63" s="10">
        <v>7.4</v>
      </c>
      <c r="K63" s="13">
        <v>1.79</v>
      </c>
      <c r="L63" s="10">
        <f t="shared" si="5"/>
        <v>13.246</v>
      </c>
      <c r="M63" s="11">
        <f t="shared" si="6"/>
        <v>4.9448890231013136</v>
      </c>
      <c r="N63" s="10">
        <f t="shared" si="7"/>
        <v>2166918.2417581682</v>
      </c>
      <c r="O63" s="11">
        <f t="shared" si="8"/>
        <v>0.6425550000000001</v>
      </c>
      <c r="P63">
        <f t="shared" si="3"/>
        <v>98.249999999999986</v>
      </c>
    </row>
    <row r="64" spans="3:16" x14ac:dyDescent="0.45">
      <c r="C64" s="33"/>
      <c r="D64" s="25"/>
      <c r="E64" s="28"/>
      <c r="F64" s="25"/>
      <c r="G64" s="11">
        <v>18</v>
      </c>
      <c r="H64" s="10">
        <v>14631</v>
      </c>
      <c r="I64" s="11">
        <v>71.3</v>
      </c>
      <c r="J64" s="10">
        <v>7.4</v>
      </c>
      <c r="K64" s="13">
        <v>1.95</v>
      </c>
      <c r="L64" s="10">
        <f>J65*K64</f>
        <v>14.43</v>
      </c>
      <c r="M64" s="11">
        <f t="shared" si="6"/>
        <v>4.9410949410949412</v>
      </c>
      <c r="N64" s="10">
        <f t="shared" si="7"/>
        <v>2347498.1385887815</v>
      </c>
      <c r="O64" s="11">
        <f t="shared" si="8"/>
        <v>0.69945299999999999</v>
      </c>
      <c r="P64">
        <f t="shared" si="3"/>
        <v>106.94999999999999</v>
      </c>
    </row>
    <row r="65" spans="3:16" x14ac:dyDescent="0.45">
      <c r="C65" s="33" t="s">
        <v>34</v>
      </c>
      <c r="D65" s="23">
        <v>1.52</v>
      </c>
      <c r="E65" s="26">
        <v>15</v>
      </c>
      <c r="F65" s="23" t="s">
        <v>68</v>
      </c>
      <c r="G65" s="11">
        <v>6</v>
      </c>
      <c r="H65" s="10">
        <v>11586</v>
      </c>
      <c r="I65" s="11">
        <v>44.2</v>
      </c>
      <c r="J65" s="10">
        <v>7.4</v>
      </c>
      <c r="K65" s="13">
        <v>1.25</v>
      </c>
      <c r="L65" s="10">
        <f>J65*K65</f>
        <v>9.25</v>
      </c>
      <c r="M65" s="11">
        <f t="shared" ref="M65:M71" si="9">I65/L65</f>
        <v>4.7783783783783784</v>
      </c>
      <c r="N65" s="10">
        <f t="shared" ref="N65:N71" si="10">(H65*PI()/30)^2</f>
        <v>1472055.839048414</v>
      </c>
      <c r="O65" s="11">
        <f t="shared" ref="O65:O71" si="11">I65*9.81/1000</f>
        <v>0.43360200000000004</v>
      </c>
      <c r="P65">
        <f t="shared" si="3"/>
        <v>66.3</v>
      </c>
    </row>
    <row r="66" spans="3:16" x14ac:dyDescent="0.45">
      <c r="C66" s="33"/>
      <c r="D66" s="24"/>
      <c r="E66" s="27"/>
      <c r="F66" s="24"/>
      <c r="G66" s="11">
        <v>8</v>
      </c>
      <c r="H66" s="10">
        <v>13170</v>
      </c>
      <c r="I66" s="11">
        <v>59.3</v>
      </c>
      <c r="J66" s="10">
        <v>7.4</v>
      </c>
      <c r="K66" s="13">
        <v>1.65</v>
      </c>
      <c r="L66" s="10">
        <f t="shared" ref="L66:L71" si="12">J66*K66</f>
        <v>12.209999999999999</v>
      </c>
      <c r="M66" s="11">
        <f t="shared" si="9"/>
        <v>4.8566748566748572</v>
      </c>
      <c r="N66" s="10">
        <f t="shared" si="10"/>
        <v>1902080.029782342</v>
      </c>
      <c r="O66" s="11">
        <f t="shared" si="11"/>
        <v>0.58173299999999994</v>
      </c>
      <c r="P66">
        <f t="shared" si="3"/>
        <v>88.949999999999989</v>
      </c>
    </row>
    <row r="67" spans="3:16" x14ac:dyDescent="0.45">
      <c r="C67" s="33"/>
      <c r="D67" s="24"/>
      <c r="E67" s="27"/>
      <c r="F67" s="24"/>
      <c r="G67" s="11">
        <v>10</v>
      </c>
      <c r="H67" s="10">
        <v>14447</v>
      </c>
      <c r="I67" s="11">
        <v>73.7</v>
      </c>
      <c r="J67" s="10">
        <v>7.4</v>
      </c>
      <c r="K67" s="13">
        <v>2.1</v>
      </c>
      <c r="L67" s="10">
        <f t="shared" si="12"/>
        <v>15.540000000000001</v>
      </c>
      <c r="M67" s="11">
        <f t="shared" si="9"/>
        <v>4.7425997425997428</v>
      </c>
      <c r="N67" s="10">
        <f t="shared" si="10"/>
        <v>2288824.9634259171</v>
      </c>
      <c r="O67" s="11">
        <f t="shared" si="11"/>
        <v>0.72299700000000011</v>
      </c>
      <c r="P67">
        <f>(I67*11.1)/7.4</f>
        <v>110.55</v>
      </c>
    </row>
    <row r="68" spans="3:16" x14ac:dyDescent="0.45">
      <c r="C68" s="33"/>
      <c r="D68" s="24"/>
      <c r="E68" s="27"/>
      <c r="F68" s="24"/>
      <c r="G68" s="11">
        <v>12</v>
      </c>
      <c r="H68" s="10">
        <v>15717</v>
      </c>
      <c r="I68" s="11">
        <v>86.7</v>
      </c>
      <c r="J68" s="10">
        <v>7.4</v>
      </c>
      <c r="K68" s="13">
        <v>2.57</v>
      </c>
      <c r="L68" s="10">
        <f t="shared" si="12"/>
        <v>19.018000000000001</v>
      </c>
      <c r="M68" s="11">
        <f t="shared" si="9"/>
        <v>4.5588389946366599</v>
      </c>
      <c r="N68" s="10">
        <f t="shared" si="10"/>
        <v>2708922.262188321</v>
      </c>
      <c r="O68" s="11">
        <f t="shared" si="11"/>
        <v>0.85052700000000003</v>
      </c>
      <c r="P68">
        <f>(I68*11.1)/7.4</f>
        <v>130.04999999999998</v>
      </c>
    </row>
    <row r="69" spans="3:16" x14ac:dyDescent="0.45">
      <c r="C69" s="33"/>
      <c r="D69" s="24"/>
      <c r="E69" s="27"/>
      <c r="F69" s="24"/>
      <c r="G69" s="11">
        <v>14</v>
      </c>
      <c r="H69" s="10">
        <v>16417</v>
      </c>
      <c r="I69" s="11">
        <v>93.2</v>
      </c>
      <c r="J69" s="10">
        <v>7.4</v>
      </c>
      <c r="K69" s="13">
        <v>2.75</v>
      </c>
      <c r="L69" s="10">
        <f t="shared" si="12"/>
        <v>20.350000000000001</v>
      </c>
      <c r="M69" s="11">
        <f t="shared" si="9"/>
        <v>4.57985257985258</v>
      </c>
      <c r="N69" s="10">
        <f t="shared" si="10"/>
        <v>2955594.3816074589</v>
      </c>
      <c r="O69" s="11">
        <f t="shared" si="11"/>
        <v>0.91429199999999999</v>
      </c>
      <c r="P69">
        <f>(I69*11.1)/7.4</f>
        <v>139.79999999999998</v>
      </c>
    </row>
    <row r="70" spans="3:16" x14ac:dyDescent="0.45">
      <c r="C70" s="33"/>
      <c r="D70" s="24"/>
      <c r="E70" s="27"/>
      <c r="F70" s="24"/>
      <c r="G70" s="11">
        <v>16</v>
      </c>
      <c r="H70" s="10">
        <v>17153</v>
      </c>
      <c r="I70" s="11">
        <v>1404.6</v>
      </c>
      <c r="J70" s="10">
        <v>7.4</v>
      </c>
      <c r="K70" s="13">
        <v>3.22</v>
      </c>
      <c r="L70" s="10">
        <f t="shared" si="12"/>
        <v>23.828000000000003</v>
      </c>
      <c r="M70" s="11">
        <f t="shared" si="9"/>
        <v>58.94745677354372</v>
      </c>
      <c r="N70" s="10">
        <f t="shared" si="10"/>
        <v>3226542.6573096849</v>
      </c>
      <c r="O70" s="11">
        <f t="shared" si="11"/>
        <v>13.779126</v>
      </c>
      <c r="P70">
        <f>(I70*11.1)/7.4</f>
        <v>2106.8999999999996</v>
      </c>
    </row>
    <row r="71" spans="3:16" x14ac:dyDescent="0.45">
      <c r="C71" s="33"/>
      <c r="D71" s="25"/>
      <c r="E71" s="28"/>
      <c r="F71" s="25"/>
      <c r="G71" s="11">
        <v>18</v>
      </c>
      <c r="H71" s="10">
        <v>18302</v>
      </c>
      <c r="I71" s="11">
        <v>113.2</v>
      </c>
      <c r="J71" s="10">
        <v>7.4</v>
      </c>
      <c r="K71" s="13">
        <v>3.55</v>
      </c>
      <c r="L71" s="10">
        <f t="shared" si="12"/>
        <v>26.27</v>
      </c>
      <c r="M71" s="11">
        <f t="shared" si="9"/>
        <v>4.3090978302245908</v>
      </c>
      <c r="N71" s="10">
        <f t="shared" si="10"/>
        <v>3673282.5693348804</v>
      </c>
      <c r="O71" s="11">
        <f t="shared" si="11"/>
        <v>1.1104920000000003</v>
      </c>
      <c r="P71">
        <f>(I71*11.1)/7.4</f>
        <v>169.79999999999998</v>
      </c>
    </row>
    <row r="72" spans="3:16" x14ac:dyDescent="0.45">
      <c r="K72"/>
      <c r="L72" s="10"/>
      <c r="M72" s="11"/>
      <c r="N72" s="10"/>
      <c r="O72" s="11"/>
    </row>
    <row r="73" spans="3:16" x14ac:dyDescent="0.45">
      <c r="K73"/>
      <c r="L73" s="10"/>
      <c r="M73" s="11"/>
      <c r="N73" s="10"/>
      <c r="O73" s="11"/>
    </row>
    <row r="74" spans="3:16" x14ac:dyDescent="0.45">
      <c r="K74"/>
      <c r="L74" s="10"/>
      <c r="M74" s="11"/>
      <c r="N74" s="10"/>
      <c r="O74" s="11"/>
    </row>
    <row r="75" spans="3:16" x14ac:dyDescent="0.45">
      <c r="K75"/>
      <c r="L75" s="10"/>
      <c r="M75" s="11"/>
      <c r="N75" s="10"/>
      <c r="O75" s="11"/>
    </row>
    <row r="76" spans="3:16" x14ac:dyDescent="0.45">
      <c r="K76"/>
      <c r="L76" s="10"/>
      <c r="M76" s="11"/>
      <c r="N76" s="10"/>
      <c r="O76" s="11"/>
    </row>
    <row r="77" spans="3:16" x14ac:dyDescent="0.45">
      <c r="K77"/>
      <c r="L77" s="10"/>
      <c r="M77" s="11"/>
      <c r="N77" s="10"/>
      <c r="O77" s="11"/>
    </row>
    <row r="78" spans="3:16" x14ac:dyDescent="0.45">
      <c r="K78"/>
      <c r="L78" s="10"/>
      <c r="M78" s="11"/>
      <c r="N78" s="10"/>
      <c r="O78" s="11"/>
    </row>
    <row r="79" spans="3:16" x14ac:dyDescent="0.45">
      <c r="K79"/>
      <c r="L79" s="10"/>
      <c r="M79" s="11"/>
      <c r="N79" s="10"/>
      <c r="O79" s="11"/>
    </row>
    <row r="80" spans="3:16" x14ac:dyDescent="0.45">
      <c r="K80"/>
      <c r="L80" s="10"/>
      <c r="M80" s="11"/>
      <c r="N80" s="10"/>
      <c r="O80" s="11"/>
    </row>
    <row r="81" spans="11:15" x14ac:dyDescent="0.45">
      <c r="K81"/>
      <c r="L81" s="10"/>
      <c r="M81" s="11"/>
      <c r="N81" s="10"/>
      <c r="O81" s="11"/>
    </row>
    <row r="82" spans="11:15" x14ac:dyDescent="0.45">
      <c r="K82"/>
      <c r="L82" s="10"/>
      <c r="M82" s="11"/>
      <c r="N82" s="10"/>
      <c r="O82" s="11"/>
    </row>
    <row r="83" spans="11:15" x14ac:dyDescent="0.45">
      <c r="K83"/>
      <c r="L83" s="10"/>
      <c r="M83" s="11"/>
      <c r="N83" s="10"/>
      <c r="O83" s="11"/>
    </row>
    <row r="84" spans="11:15" x14ac:dyDescent="0.45">
      <c r="K84"/>
      <c r="L84" s="10"/>
      <c r="M84" s="11"/>
      <c r="N84" s="10"/>
      <c r="O84" s="11"/>
    </row>
    <row r="85" spans="11:15" x14ac:dyDescent="0.45">
      <c r="K85"/>
      <c r="L85" s="10"/>
      <c r="M85" s="11"/>
      <c r="N85" s="10"/>
      <c r="O85" s="11"/>
    </row>
    <row r="86" spans="11:15" x14ac:dyDescent="0.45">
      <c r="K86"/>
      <c r="L86" s="10"/>
      <c r="M86" s="11"/>
      <c r="N86" s="10"/>
      <c r="O86" s="11"/>
    </row>
    <row r="87" spans="11:15" x14ac:dyDescent="0.45">
      <c r="K87"/>
      <c r="L87" s="10"/>
      <c r="M87" s="11"/>
      <c r="N87" s="10"/>
      <c r="O87" s="11"/>
    </row>
    <row r="88" spans="11:15" x14ac:dyDescent="0.45">
      <c r="K88"/>
      <c r="L88" s="10"/>
      <c r="M88" s="11"/>
      <c r="N88" s="10"/>
      <c r="O88" s="11"/>
    </row>
    <row r="89" spans="11:15" x14ac:dyDescent="0.45">
      <c r="K89"/>
      <c r="L89" s="10"/>
      <c r="M89" s="11"/>
      <c r="N89" s="10"/>
      <c r="O89" s="11"/>
    </row>
    <row r="90" spans="11:15" x14ac:dyDescent="0.45">
      <c r="K90"/>
      <c r="L90" s="10"/>
      <c r="M90" s="11"/>
      <c r="N90" s="10"/>
      <c r="O90" s="11"/>
    </row>
    <row r="91" spans="11:15" x14ac:dyDescent="0.45">
      <c r="K91"/>
      <c r="L91" s="10"/>
      <c r="M91" s="11"/>
      <c r="N91" s="10"/>
      <c r="O91" s="11"/>
    </row>
  </sheetData>
  <mergeCells count="40">
    <mergeCell ref="C65:C71"/>
    <mergeCell ref="E58:E64"/>
    <mergeCell ref="E65:E71"/>
    <mergeCell ref="C30:C36"/>
    <mergeCell ref="E9:E15"/>
    <mergeCell ref="E51:E57"/>
    <mergeCell ref="D37:D43"/>
    <mergeCell ref="D44:D50"/>
    <mergeCell ref="D51:D57"/>
    <mergeCell ref="D58:D64"/>
    <mergeCell ref="D65:D71"/>
    <mergeCell ref="E44:E50"/>
    <mergeCell ref="D30:D36"/>
    <mergeCell ref="F30:F36"/>
    <mergeCell ref="F58:F64"/>
    <mergeCell ref="F37:F43"/>
    <mergeCell ref="F44:F50"/>
    <mergeCell ref="F51:F57"/>
    <mergeCell ref="F65:F71"/>
    <mergeCell ref="E2:E8"/>
    <mergeCell ref="E23:E29"/>
    <mergeCell ref="C2:C8"/>
    <mergeCell ref="C9:C15"/>
    <mergeCell ref="C16:C22"/>
    <mergeCell ref="C23:C29"/>
    <mergeCell ref="F9:F15"/>
    <mergeCell ref="C58:C64"/>
    <mergeCell ref="C44:C50"/>
    <mergeCell ref="C51:C57"/>
    <mergeCell ref="C37:C43"/>
    <mergeCell ref="E16:E22"/>
    <mergeCell ref="E30:E36"/>
    <mergeCell ref="E37:E43"/>
    <mergeCell ref="F16:F22"/>
    <mergeCell ref="F23:F29"/>
    <mergeCell ref="F2:F8"/>
    <mergeCell ref="D2:D8"/>
    <mergeCell ref="D9:D15"/>
    <mergeCell ref="D16:D22"/>
    <mergeCell ref="D23:D29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B3C8-802D-43B8-B98C-03D07427ED6D}">
  <sheetPr codeName="Sheet3"/>
  <dimension ref="A1:N15"/>
  <sheetViews>
    <sheetView topLeftCell="C1" workbookViewId="0">
      <selection activeCell="J2" sqref="J2:J15"/>
    </sheetView>
  </sheetViews>
  <sheetFormatPr defaultRowHeight="18" x14ac:dyDescent="0.45"/>
  <cols>
    <col min="2" max="2" width="12.296875" bestFit="1" customWidth="1"/>
    <col min="3" max="3" width="10.3984375" bestFit="1" customWidth="1"/>
    <col min="4" max="4" width="10.3984375" customWidth="1"/>
    <col min="8" max="8" width="10.3984375" bestFit="1" customWidth="1"/>
    <col min="11" max="11" width="9.8984375" bestFit="1" customWidth="1"/>
  </cols>
  <sheetData>
    <row r="1" spans="1:14" x14ac:dyDescent="0.45">
      <c r="A1" t="s">
        <v>50</v>
      </c>
      <c r="B1" t="s">
        <v>48</v>
      </c>
      <c r="C1" t="s">
        <v>52</v>
      </c>
      <c r="D1" t="s">
        <v>51</v>
      </c>
      <c r="E1" t="s">
        <v>38</v>
      </c>
      <c r="F1" t="s">
        <v>35</v>
      </c>
      <c r="G1" t="s">
        <v>21</v>
      </c>
      <c r="H1" t="s">
        <v>36</v>
      </c>
      <c r="I1" t="s">
        <v>37</v>
      </c>
      <c r="J1" t="s">
        <v>39</v>
      </c>
      <c r="K1" t="s">
        <v>40</v>
      </c>
      <c r="L1" t="s">
        <v>41</v>
      </c>
      <c r="M1" t="s">
        <v>42</v>
      </c>
      <c r="N1" t="s">
        <v>53</v>
      </c>
    </row>
    <row r="2" spans="1:14" x14ac:dyDescent="0.45">
      <c r="E2">
        <v>6</v>
      </c>
      <c r="F2">
        <v>7831</v>
      </c>
      <c r="G2">
        <v>57.8</v>
      </c>
      <c r="H2">
        <v>1.35</v>
      </c>
      <c r="I2">
        <v>11.1</v>
      </c>
      <c r="J2">
        <f>F2*F2</f>
        <v>61324561</v>
      </c>
      <c r="K2">
        <f>H2*I2</f>
        <v>14.985000000000001</v>
      </c>
      <c r="L2">
        <f>G2/K2</f>
        <v>3.8571905238571902</v>
      </c>
      <c r="M2">
        <f>G2*9.81/1000</f>
        <v>0.56701800000000002</v>
      </c>
      <c r="N2" s="38">
        <v>1</v>
      </c>
    </row>
    <row r="3" spans="1:14" x14ac:dyDescent="0.45">
      <c r="E3">
        <v>7</v>
      </c>
      <c r="F3">
        <v>8611</v>
      </c>
      <c r="G3">
        <v>73.5</v>
      </c>
      <c r="H3">
        <v>1.74</v>
      </c>
      <c r="I3">
        <v>11.1</v>
      </c>
      <c r="J3">
        <f t="shared" ref="J3:J15" si="0">F3*F3</f>
        <v>74149321</v>
      </c>
      <c r="K3">
        <f t="shared" ref="K3:K14" si="1">H3*I3</f>
        <v>19.314</v>
      </c>
      <c r="L3">
        <f t="shared" ref="L3:L15" si="2">G3/K3</f>
        <v>3.8055296675986332</v>
      </c>
      <c r="M3">
        <f t="shared" ref="M3:M15" si="3">G3*9.81/1000</f>
        <v>0.72103500000000009</v>
      </c>
      <c r="N3" s="38"/>
    </row>
    <row r="4" spans="1:14" x14ac:dyDescent="0.45">
      <c r="E4">
        <v>8</v>
      </c>
      <c r="F4">
        <v>9352</v>
      </c>
      <c r="G4">
        <v>89</v>
      </c>
      <c r="H4">
        <v>2.2000000000000002</v>
      </c>
      <c r="I4">
        <v>11.1</v>
      </c>
      <c r="J4">
        <f t="shared" si="0"/>
        <v>87459904</v>
      </c>
      <c r="K4">
        <f t="shared" si="1"/>
        <v>24.42</v>
      </c>
      <c r="L4">
        <f t="shared" si="2"/>
        <v>3.6445536445536444</v>
      </c>
      <c r="M4">
        <f t="shared" si="3"/>
        <v>0.87309000000000003</v>
      </c>
      <c r="N4" s="38"/>
    </row>
    <row r="5" spans="1:14" x14ac:dyDescent="0.45">
      <c r="E5">
        <v>9</v>
      </c>
      <c r="F5">
        <v>9985</v>
      </c>
      <c r="G5">
        <v>105</v>
      </c>
      <c r="H5">
        <v>2.65</v>
      </c>
      <c r="I5">
        <v>11.1</v>
      </c>
      <c r="J5">
        <f t="shared" si="0"/>
        <v>99700225</v>
      </c>
      <c r="K5">
        <f t="shared" si="1"/>
        <v>29.414999999999999</v>
      </c>
      <c r="L5">
        <f t="shared" si="2"/>
        <v>3.5696073431922488</v>
      </c>
      <c r="M5">
        <f t="shared" si="3"/>
        <v>1.0300499999999999</v>
      </c>
      <c r="N5" s="38"/>
    </row>
    <row r="6" spans="1:14" x14ac:dyDescent="0.45">
      <c r="E6">
        <v>10</v>
      </c>
      <c r="F6">
        <v>10581</v>
      </c>
      <c r="G6">
        <v>116</v>
      </c>
      <c r="H6">
        <v>3</v>
      </c>
      <c r="I6">
        <v>11.1</v>
      </c>
      <c r="J6">
        <f t="shared" si="0"/>
        <v>111957561</v>
      </c>
      <c r="K6">
        <f t="shared" si="1"/>
        <v>33.299999999999997</v>
      </c>
      <c r="L6">
        <f t="shared" si="2"/>
        <v>3.4834834834834836</v>
      </c>
      <c r="M6">
        <f t="shared" si="3"/>
        <v>1.1379600000000001</v>
      </c>
      <c r="N6" s="38"/>
    </row>
    <row r="7" spans="1:14" x14ac:dyDescent="0.45">
      <c r="E7">
        <v>11</v>
      </c>
      <c r="F7">
        <v>11217</v>
      </c>
      <c r="G7">
        <v>131.5</v>
      </c>
      <c r="H7">
        <v>3.5</v>
      </c>
      <c r="I7">
        <v>11.1</v>
      </c>
      <c r="J7">
        <f t="shared" si="0"/>
        <v>125821089</v>
      </c>
      <c r="K7">
        <f t="shared" si="1"/>
        <v>38.85</v>
      </c>
      <c r="L7">
        <f t="shared" si="2"/>
        <v>3.3848133848133846</v>
      </c>
      <c r="M7">
        <f t="shared" si="3"/>
        <v>1.2900150000000001</v>
      </c>
      <c r="N7" s="38"/>
    </row>
    <row r="8" spans="1:14" x14ac:dyDescent="0.45">
      <c r="E8">
        <v>12</v>
      </c>
      <c r="F8">
        <v>11882</v>
      </c>
      <c r="G8">
        <v>141</v>
      </c>
      <c r="H8">
        <v>3.91</v>
      </c>
      <c r="I8">
        <v>11.1</v>
      </c>
      <c r="J8">
        <f t="shared" si="0"/>
        <v>141181924</v>
      </c>
      <c r="K8">
        <f t="shared" si="1"/>
        <v>43.401000000000003</v>
      </c>
      <c r="L8">
        <f t="shared" si="2"/>
        <v>3.2487730697449364</v>
      </c>
      <c r="M8">
        <f t="shared" si="3"/>
        <v>1.3832100000000001</v>
      </c>
      <c r="N8" s="38"/>
    </row>
    <row r="9" spans="1:14" x14ac:dyDescent="0.45">
      <c r="E9">
        <v>13</v>
      </c>
      <c r="F9">
        <v>11601</v>
      </c>
      <c r="G9">
        <v>143.19999999999999</v>
      </c>
      <c r="H9">
        <v>3.92</v>
      </c>
      <c r="I9">
        <v>11.1</v>
      </c>
      <c r="J9">
        <f t="shared" si="0"/>
        <v>134583201</v>
      </c>
      <c r="K9">
        <f t="shared" si="1"/>
        <v>43.512</v>
      </c>
      <c r="L9">
        <f t="shared" si="2"/>
        <v>3.2910461481890052</v>
      </c>
      <c r="M9">
        <f t="shared" si="3"/>
        <v>1.4047919999999998</v>
      </c>
      <c r="N9" s="38"/>
    </row>
    <row r="10" spans="1:14" x14ac:dyDescent="0.45">
      <c r="E10">
        <v>14</v>
      </c>
      <c r="F10">
        <v>12095</v>
      </c>
      <c r="G10">
        <v>155.1</v>
      </c>
      <c r="H10">
        <v>4.32</v>
      </c>
      <c r="I10">
        <v>11.1</v>
      </c>
      <c r="J10">
        <f t="shared" si="0"/>
        <v>146289025</v>
      </c>
      <c r="K10">
        <f t="shared" si="1"/>
        <v>47.951999999999998</v>
      </c>
      <c r="L10">
        <f t="shared" si="2"/>
        <v>3.2344844844844847</v>
      </c>
      <c r="M10">
        <f t="shared" si="3"/>
        <v>1.521531</v>
      </c>
      <c r="N10" s="38"/>
    </row>
    <row r="11" spans="1:14" x14ac:dyDescent="0.45">
      <c r="E11">
        <v>15</v>
      </c>
      <c r="F11">
        <v>12484</v>
      </c>
      <c r="G11">
        <v>173</v>
      </c>
      <c r="H11">
        <v>4.76</v>
      </c>
      <c r="I11">
        <v>11.1</v>
      </c>
      <c r="J11">
        <f t="shared" si="0"/>
        <v>155850256</v>
      </c>
      <c r="K11">
        <f t="shared" si="1"/>
        <v>52.835999999999999</v>
      </c>
      <c r="L11">
        <f t="shared" si="2"/>
        <v>3.2742826860473921</v>
      </c>
      <c r="M11">
        <f t="shared" si="3"/>
        <v>1.69713</v>
      </c>
      <c r="N11" s="38"/>
    </row>
    <row r="12" spans="1:14" x14ac:dyDescent="0.45">
      <c r="E12">
        <v>16</v>
      </c>
      <c r="F12">
        <v>13263</v>
      </c>
      <c r="G12">
        <v>182</v>
      </c>
      <c r="H12">
        <v>5.37</v>
      </c>
      <c r="I12">
        <v>11.1</v>
      </c>
      <c r="J12">
        <f t="shared" si="0"/>
        <v>175907169</v>
      </c>
      <c r="K12">
        <f t="shared" si="1"/>
        <v>59.606999999999999</v>
      </c>
      <c r="L12">
        <f t="shared" si="2"/>
        <v>3.0533326622712096</v>
      </c>
      <c r="M12">
        <f t="shared" si="3"/>
        <v>1.78542</v>
      </c>
      <c r="N12" s="38"/>
    </row>
    <row r="13" spans="1:14" x14ac:dyDescent="0.45">
      <c r="E13">
        <v>17</v>
      </c>
      <c r="F13">
        <v>13757</v>
      </c>
      <c r="G13">
        <v>207</v>
      </c>
      <c r="H13">
        <v>5.94</v>
      </c>
      <c r="I13">
        <v>11.1</v>
      </c>
      <c r="J13">
        <f t="shared" si="0"/>
        <v>189255049</v>
      </c>
      <c r="K13">
        <f t="shared" si="1"/>
        <v>65.933999999999997</v>
      </c>
      <c r="L13">
        <f t="shared" si="2"/>
        <v>3.1395031395031396</v>
      </c>
      <c r="M13">
        <f t="shared" si="3"/>
        <v>2.0306700000000002</v>
      </c>
      <c r="N13" s="38"/>
    </row>
    <row r="14" spans="1:14" x14ac:dyDescent="0.45">
      <c r="E14">
        <v>18</v>
      </c>
      <c r="F14">
        <v>14304</v>
      </c>
      <c r="G14">
        <v>219</v>
      </c>
      <c r="H14">
        <v>6.6</v>
      </c>
      <c r="I14">
        <v>11.1</v>
      </c>
      <c r="J14">
        <f t="shared" si="0"/>
        <v>204604416</v>
      </c>
      <c r="K14">
        <f t="shared" si="1"/>
        <v>73.259999999999991</v>
      </c>
      <c r="L14">
        <f t="shared" si="2"/>
        <v>2.9893529893529895</v>
      </c>
      <c r="M14">
        <f t="shared" si="3"/>
        <v>2.1483900000000005</v>
      </c>
      <c r="N14" s="38"/>
    </row>
    <row r="15" spans="1:14" x14ac:dyDescent="0.45">
      <c r="E15">
        <v>19</v>
      </c>
      <c r="F15">
        <v>14734</v>
      </c>
      <c r="G15">
        <v>242</v>
      </c>
      <c r="H15">
        <v>7.46</v>
      </c>
      <c r="I15">
        <v>11.1</v>
      </c>
      <c r="J15">
        <f t="shared" si="0"/>
        <v>217090756</v>
      </c>
      <c r="K15">
        <f>H15*I15</f>
        <v>82.805999999999997</v>
      </c>
      <c r="L15">
        <f t="shared" si="2"/>
        <v>2.9224935391155231</v>
      </c>
      <c r="M15">
        <f t="shared" si="3"/>
        <v>2.3740199999999998</v>
      </c>
      <c r="N15" s="38"/>
    </row>
  </sheetData>
  <mergeCells count="1">
    <mergeCell ref="N2:N15"/>
  </mergeCells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7815-A229-484E-9CFA-945D2413D27F}">
  <sheetPr codeName="Sheet4"/>
  <dimension ref="D1:L22"/>
  <sheetViews>
    <sheetView workbookViewId="0">
      <selection activeCell="G7" sqref="G7"/>
    </sheetView>
  </sheetViews>
  <sheetFormatPr defaultRowHeight="18" x14ac:dyDescent="0.45"/>
  <cols>
    <col min="5" max="5" width="10.3984375" bestFit="1" customWidth="1"/>
    <col min="6" max="7" width="9.796875" bestFit="1" customWidth="1"/>
    <col min="8" max="8" width="14" bestFit="1" customWidth="1"/>
    <col min="9" max="9" width="10.3984375" bestFit="1" customWidth="1"/>
    <col min="10" max="10" width="10.296875" bestFit="1" customWidth="1"/>
    <col min="11" max="11" width="12.3984375" bestFit="1" customWidth="1"/>
    <col min="12" max="12" width="9.8984375" bestFit="1" customWidth="1"/>
  </cols>
  <sheetData>
    <row r="1" spans="4:12" x14ac:dyDescent="0.45">
      <c r="D1" t="s">
        <v>38</v>
      </c>
      <c r="E1" t="s">
        <v>45</v>
      </c>
      <c r="F1" t="s">
        <v>30</v>
      </c>
      <c r="G1" t="s">
        <v>46</v>
      </c>
      <c r="H1" t="s">
        <v>44</v>
      </c>
      <c r="I1" t="s">
        <v>39</v>
      </c>
      <c r="J1" t="s">
        <v>31</v>
      </c>
      <c r="K1" t="s">
        <v>47</v>
      </c>
      <c r="L1" t="s">
        <v>42</v>
      </c>
    </row>
    <row r="2" spans="4:12" x14ac:dyDescent="0.45">
      <c r="D2">
        <v>6</v>
      </c>
      <c r="I2">
        <f>H2*H2</f>
        <v>0</v>
      </c>
      <c r="J2">
        <f>F2*G2</f>
        <v>0</v>
      </c>
      <c r="K2" t="e">
        <f>E2/J2</f>
        <v>#DIV/0!</v>
      </c>
      <c r="L2">
        <f>E2*9.81/1000</f>
        <v>0</v>
      </c>
    </row>
    <row r="3" spans="4:12" x14ac:dyDescent="0.45">
      <c r="D3">
        <v>7</v>
      </c>
      <c r="I3">
        <f t="shared" ref="I3:I22" si="0">G3*G3</f>
        <v>0</v>
      </c>
      <c r="J3">
        <f t="shared" ref="J3:J22" si="1">F3*G3</f>
        <v>0</v>
      </c>
      <c r="K3" t="e">
        <f t="shared" ref="K3:K22" si="2">E3/J3</f>
        <v>#DIV/0!</v>
      </c>
      <c r="L3">
        <f t="shared" ref="L3:L22" si="3">E3*9.81/1000</f>
        <v>0</v>
      </c>
    </row>
    <row r="4" spans="4:12" x14ac:dyDescent="0.45">
      <c r="D4">
        <v>8</v>
      </c>
      <c r="I4">
        <f t="shared" si="0"/>
        <v>0</v>
      </c>
      <c r="J4">
        <f t="shared" si="1"/>
        <v>0</v>
      </c>
      <c r="K4" t="e">
        <f t="shared" si="2"/>
        <v>#DIV/0!</v>
      </c>
      <c r="L4">
        <f t="shared" si="3"/>
        <v>0</v>
      </c>
    </row>
    <row r="5" spans="4:12" x14ac:dyDescent="0.45">
      <c r="D5">
        <v>9</v>
      </c>
      <c r="I5">
        <f t="shared" si="0"/>
        <v>0</v>
      </c>
      <c r="J5">
        <f t="shared" si="1"/>
        <v>0</v>
      </c>
      <c r="K5" t="e">
        <f t="shared" si="2"/>
        <v>#DIV/0!</v>
      </c>
      <c r="L5">
        <f t="shared" si="3"/>
        <v>0</v>
      </c>
    </row>
    <row r="6" spans="4:12" x14ac:dyDescent="0.45">
      <c r="D6">
        <v>10</v>
      </c>
      <c r="I6">
        <f t="shared" si="0"/>
        <v>0</v>
      </c>
      <c r="J6">
        <f t="shared" si="1"/>
        <v>0</v>
      </c>
      <c r="K6" t="e">
        <f t="shared" si="2"/>
        <v>#DIV/0!</v>
      </c>
      <c r="L6">
        <f t="shared" si="3"/>
        <v>0</v>
      </c>
    </row>
    <row r="7" spans="4:12" x14ac:dyDescent="0.45">
      <c r="D7">
        <v>11</v>
      </c>
      <c r="I7">
        <f t="shared" si="0"/>
        <v>0</v>
      </c>
      <c r="J7">
        <f t="shared" si="1"/>
        <v>0</v>
      </c>
      <c r="K7" t="e">
        <f t="shared" si="2"/>
        <v>#DIV/0!</v>
      </c>
      <c r="L7">
        <f t="shared" si="3"/>
        <v>0</v>
      </c>
    </row>
    <row r="8" spans="4:12" x14ac:dyDescent="0.45">
      <c r="D8">
        <v>12</v>
      </c>
      <c r="I8">
        <f t="shared" si="0"/>
        <v>0</v>
      </c>
      <c r="J8">
        <f t="shared" si="1"/>
        <v>0</v>
      </c>
      <c r="K8" t="e">
        <f t="shared" si="2"/>
        <v>#DIV/0!</v>
      </c>
      <c r="L8">
        <f t="shared" si="3"/>
        <v>0</v>
      </c>
    </row>
    <row r="9" spans="4:12" x14ac:dyDescent="0.45">
      <c r="D9">
        <v>13</v>
      </c>
      <c r="I9">
        <f t="shared" si="0"/>
        <v>0</v>
      </c>
      <c r="J9">
        <f t="shared" si="1"/>
        <v>0</v>
      </c>
      <c r="K9" t="e">
        <f t="shared" si="2"/>
        <v>#DIV/0!</v>
      </c>
      <c r="L9">
        <f t="shared" si="3"/>
        <v>0</v>
      </c>
    </row>
    <row r="10" spans="4:12" x14ac:dyDescent="0.45">
      <c r="D10">
        <v>14</v>
      </c>
      <c r="I10">
        <f t="shared" si="0"/>
        <v>0</v>
      </c>
      <c r="J10">
        <f t="shared" si="1"/>
        <v>0</v>
      </c>
      <c r="K10" t="e">
        <f t="shared" si="2"/>
        <v>#DIV/0!</v>
      </c>
      <c r="L10">
        <f t="shared" si="3"/>
        <v>0</v>
      </c>
    </row>
    <row r="11" spans="4:12" x14ac:dyDescent="0.45">
      <c r="D11">
        <v>15</v>
      </c>
      <c r="I11">
        <f t="shared" si="0"/>
        <v>0</v>
      </c>
      <c r="J11">
        <f t="shared" si="1"/>
        <v>0</v>
      </c>
      <c r="K11" t="e">
        <f t="shared" si="2"/>
        <v>#DIV/0!</v>
      </c>
      <c r="L11">
        <f t="shared" si="3"/>
        <v>0</v>
      </c>
    </row>
    <row r="12" spans="4:12" x14ac:dyDescent="0.45">
      <c r="D12">
        <v>16</v>
      </c>
      <c r="I12">
        <f t="shared" si="0"/>
        <v>0</v>
      </c>
      <c r="J12">
        <f t="shared" si="1"/>
        <v>0</v>
      </c>
      <c r="K12" t="e">
        <f t="shared" si="2"/>
        <v>#DIV/0!</v>
      </c>
      <c r="L12">
        <f t="shared" si="3"/>
        <v>0</v>
      </c>
    </row>
    <row r="13" spans="4:12" x14ac:dyDescent="0.45">
      <c r="D13">
        <v>17</v>
      </c>
      <c r="I13">
        <f t="shared" si="0"/>
        <v>0</v>
      </c>
      <c r="J13">
        <f t="shared" si="1"/>
        <v>0</v>
      </c>
      <c r="K13" t="e">
        <f t="shared" si="2"/>
        <v>#DIV/0!</v>
      </c>
      <c r="L13">
        <f t="shared" si="3"/>
        <v>0</v>
      </c>
    </row>
    <row r="14" spans="4:12" x14ac:dyDescent="0.45">
      <c r="D14">
        <v>18</v>
      </c>
      <c r="I14">
        <f t="shared" si="0"/>
        <v>0</v>
      </c>
      <c r="J14">
        <f t="shared" si="1"/>
        <v>0</v>
      </c>
      <c r="K14" t="e">
        <f t="shared" si="2"/>
        <v>#DIV/0!</v>
      </c>
      <c r="L14">
        <f t="shared" si="3"/>
        <v>0</v>
      </c>
    </row>
    <row r="15" spans="4:12" x14ac:dyDescent="0.45">
      <c r="D15">
        <v>19</v>
      </c>
      <c r="I15">
        <f t="shared" si="0"/>
        <v>0</v>
      </c>
      <c r="J15">
        <f t="shared" si="1"/>
        <v>0</v>
      </c>
      <c r="K15" t="e">
        <f t="shared" si="2"/>
        <v>#DIV/0!</v>
      </c>
      <c r="L15">
        <f t="shared" si="3"/>
        <v>0</v>
      </c>
    </row>
    <row r="16" spans="4:12" x14ac:dyDescent="0.45">
      <c r="D16">
        <v>20</v>
      </c>
      <c r="I16">
        <f t="shared" si="0"/>
        <v>0</v>
      </c>
      <c r="J16">
        <f t="shared" si="1"/>
        <v>0</v>
      </c>
      <c r="K16" t="e">
        <f t="shared" si="2"/>
        <v>#DIV/0!</v>
      </c>
      <c r="L16">
        <f t="shared" si="3"/>
        <v>0</v>
      </c>
    </row>
    <row r="17" spans="4:12" x14ac:dyDescent="0.45">
      <c r="D17">
        <v>21</v>
      </c>
      <c r="I17">
        <f t="shared" si="0"/>
        <v>0</v>
      </c>
      <c r="J17">
        <f t="shared" si="1"/>
        <v>0</v>
      </c>
      <c r="K17" t="e">
        <f t="shared" si="2"/>
        <v>#DIV/0!</v>
      </c>
      <c r="L17">
        <f t="shared" si="3"/>
        <v>0</v>
      </c>
    </row>
    <row r="18" spans="4:12" x14ac:dyDescent="0.45">
      <c r="D18">
        <v>22</v>
      </c>
      <c r="I18">
        <f t="shared" si="0"/>
        <v>0</v>
      </c>
      <c r="J18">
        <f t="shared" si="1"/>
        <v>0</v>
      </c>
      <c r="K18" t="e">
        <f t="shared" si="2"/>
        <v>#DIV/0!</v>
      </c>
      <c r="L18">
        <f t="shared" si="3"/>
        <v>0</v>
      </c>
    </row>
    <row r="19" spans="4:12" x14ac:dyDescent="0.45">
      <c r="D19">
        <v>23</v>
      </c>
      <c r="I19">
        <f t="shared" si="0"/>
        <v>0</v>
      </c>
      <c r="J19">
        <f t="shared" si="1"/>
        <v>0</v>
      </c>
      <c r="K19" t="e">
        <f t="shared" si="2"/>
        <v>#DIV/0!</v>
      </c>
      <c r="L19">
        <f t="shared" si="3"/>
        <v>0</v>
      </c>
    </row>
    <row r="20" spans="4:12" x14ac:dyDescent="0.45">
      <c r="D20">
        <v>24</v>
      </c>
      <c r="I20">
        <f t="shared" si="0"/>
        <v>0</v>
      </c>
      <c r="J20">
        <f t="shared" si="1"/>
        <v>0</v>
      </c>
      <c r="K20" t="e">
        <f t="shared" si="2"/>
        <v>#DIV/0!</v>
      </c>
      <c r="L20">
        <f t="shared" si="3"/>
        <v>0</v>
      </c>
    </row>
    <row r="21" spans="4:12" x14ac:dyDescent="0.45">
      <c r="D21">
        <v>25</v>
      </c>
      <c r="I21">
        <f t="shared" si="0"/>
        <v>0</v>
      </c>
      <c r="J21">
        <f t="shared" si="1"/>
        <v>0</v>
      </c>
      <c r="K21" t="e">
        <f t="shared" si="2"/>
        <v>#DIV/0!</v>
      </c>
      <c r="L21">
        <f t="shared" si="3"/>
        <v>0</v>
      </c>
    </row>
    <row r="22" spans="4:12" x14ac:dyDescent="0.45">
      <c r="D22">
        <v>26</v>
      </c>
      <c r="I22">
        <f t="shared" si="0"/>
        <v>0</v>
      </c>
      <c r="J22">
        <f t="shared" si="1"/>
        <v>0</v>
      </c>
      <c r="K22" t="e">
        <f t="shared" si="2"/>
        <v>#DIV/0!</v>
      </c>
      <c r="L22">
        <f t="shared" si="3"/>
        <v>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ヒコロボ</vt:lpstr>
      <vt:lpstr>西本</vt:lpstr>
      <vt:lpstr>廣島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tkmre</dc:creator>
  <cp:lastModifiedBy>拓未 西本</cp:lastModifiedBy>
  <dcterms:created xsi:type="dcterms:W3CDTF">2025-04-25T16:48:27Z</dcterms:created>
  <dcterms:modified xsi:type="dcterms:W3CDTF">2026-06-30T08:45:43Z</dcterms:modified>
</cp:coreProperties>
</file>